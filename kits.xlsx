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MEUS PROJETOS\MEUS PROJETOS\GERADOR-PROPOSTA\gerador-proposta-so-kit\"/>
    </mc:Choice>
  </mc:AlternateContent>
  <xr:revisionPtr revIDLastSave="0" documentId="13_ncr:1_{C6C72323-E315-4457-8DA1-E2B4100ADC25}" xr6:coauthVersionLast="47" xr6:coauthVersionMax="47" xr10:uidLastSave="{00000000-0000-0000-0000-000000000000}"/>
  <bookViews>
    <workbookView xWindow="3330" yWindow="450" windowWidth="14160" windowHeight="10620" xr2:uid="{E6FB4E53-5535-41C7-ADC0-852DED75086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J2" i="1" a="1"/>
  <c r="J2" i="1" s="1"/>
  <c r="H2" i="1"/>
  <c r="F2" i="1" s="1"/>
  <c r="H3" i="1"/>
  <c r="F3" i="1" s="1"/>
  <c r="H4" i="1"/>
  <c r="F4" i="1" s="1"/>
  <c r="H5" i="1"/>
  <c r="F5" i="1" s="1"/>
  <c r="H6" i="1"/>
  <c r="F6" i="1" s="1"/>
  <c r="H7" i="1"/>
  <c r="F7" i="1" s="1"/>
  <c r="H8" i="1"/>
  <c r="F8" i="1" s="1"/>
  <c r="H9" i="1"/>
  <c r="F9" i="1" s="1"/>
  <c r="H10" i="1"/>
  <c r="F10" i="1" s="1"/>
  <c r="H11" i="1"/>
  <c r="F11" i="1" s="1"/>
  <c r="H12" i="1"/>
  <c r="F12" i="1" s="1"/>
  <c r="H13" i="1"/>
  <c r="F13" i="1" s="1"/>
  <c r="H14" i="1"/>
  <c r="F14" i="1" s="1"/>
  <c r="H15" i="1"/>
  <c r="F15" i="1" s="1"/>
  <c r="H16" i="1"/>
  <c r="F16" i="1" s="1"/>
  <c r="H17" i="1"/>
  <c r="F17" i="1" s="1"/>
  <c r="H18" i="1"/>
  <c r="F18" i="1" s="1"/>
  <c r="H19" i="1"/>
  <c r="F19" i="1" s="1"/>
  <c r="H20" i="1"/>
  <c r="F20" i="1" s="1"/>
  <c r="H21" i="1"/>
  <c r="F21" i="1" s="1"/>
  <c r="H22" i="1"/>
  <c r="F22" i="1" s="1"/>
  <c r="H23" i="1"/>
  <c r="F23" i="1" s="1"/>
  <c r="H24" i="1"/>
  <c r="F24" i="1" s="1"/>
  <c r="H25" i="1"/>
  <c r="F25" i="1" s="1"/>
  <c r="H26" i="1"/>
  <c r="F26" i="1" s="1"/>
  <c r="H27" i="1"/>
  <c r="F27" i="1" s="1"/>
  <c r="H28" i="1"/>
  <c r="F28" i="1" s="1"/>
  <c r="H29" i="1"/>
  <c r="F29" i="1" s="1"/>
  <c r="H30" i="1"/>
  <c r="F30" i="1" s="1"/>
  <c r="H31" i="1"/>
  <c r="F31" i="1" s="1"/>
  <c r="H32" i="1"/>
  <c r="F32" i="1" s="1"/>
  <c r="H33" i="1"/>
  <c r="F33" i="1" s="1"/>
  <c r="H34" i="1"/>
  <c r="F34" i="1" s="1"/>
  <c r="H35" i="1"/>
  <c r="F35" i="1" s="1"/>
  <c r="H36" i="1"/>
  <c r="F36" i="1" s="1"/>
  <c r="H37" i="1"/>
  <c r="F37" i="1" s="1"/>
  <c r="H38" i="1"/>
  <c r="F38" i="1" s="1"/>
  <c r="H39" i="1"/>
  <c r="F39" i="1" s="1"/>
  <c r="H40" i="1"/>
  <c r="F40" i="1" s="1"/>
  <c r="H41" i="1"/>
  <c r="F41" i="1" s="1"/>
  <c r="H42" i="1"/>
  <c r="F42" i="1" s="1"/>
  <c r="H43" i="1"/>
  <c r="F43" i="1" s="1"/>
  <c r="H44" i="1"/>
  <c r="F44" i="1" s="1"/>
  <c r="H45" i="1"/>
  <c r="F45" i="1" s="1"/>
  <c r="H46" i="1"/>
  <c r="F46" i="1" s="1"/>
  <c r="H47" i="1"/>
  <c r="F47" i="1" s="1"/>
  <c r="H48" i="1"/>
  <c r="F48" i="1" s="1"/>
  <c r="H49" i="1"/>
  <c r="F49" i="1" s="1"/>
  <c r="H50" i="1"/>
  <c r="F50" i="1" s="1"/>
  <c r="H51" i="1"/>
  <c r="F51" i="1" s="1"/>
  <c r="H52" i="1"/>
  <c r="F52" i="1" s="1"/>
  <c r="H53" i="1"/>
  <c r="F53" i="1" s="1"/>
  <c r="H54" i="1"/>
  <c r="F54" i="1" s="1"/>
  <c r="H55" i="1"/>
  <c r="F55" i="1" s="1"/>
  <c r="H56" i="1"/>
  <c r="F56" i="1" s="1"/>
  <c r="H57" i="1"/>
  <c r="F57" i="1" s="1"/>
  <c r="H58" i="1"/>
  <c r="F58" i="1" s="1"/>
  <c r="H59" i="1"/>
  <c r="F59" i="1" s="1"/>
  <c r="H60" i="1"/>
  <c r="F60" i="1" s="1"/>
  <c r="H61" i="1"/>
  <c r="F61" i="1" s="1"/>
  <c r="H62" i="1"/>
  <c r="F62" i="1" s="1"/>
  <c r="H63" i="1"/>
  <c r="F63" i="1" s="1"/>
  <c r="H64" i="1"/>
  <c r="F64" i="1" s="1"/>
  <c r="H65" i="1"/>
  <c r="F65" i="1" s="1"/>
  <c r="H66" i="1"/>
  <c r="F66" i="1" s="1"/>
  <c r="H67" i="1"/>
  <c r="F67" i="1" s="1"/>
  <c r="H68" i="1"/>
  <c r="F68" i="1" s="1"/>
  <c r="H69" i="1"/>
  <c r="F69" i="1" s="1"/>
  <c r="H70" i="1"/>
  <c r="F70" i="1" s="1"/>
  <c r="H71" i="1"/>
  <c r="F71" i="1" s="1"/>
  <c r="H72" i="1"/>
  <c r="F72" i="1" s="1"/>
  <c r="H73" i="1"/>
  <c r="F73" i="1" s="1"/>
  <c r="H74" i="1"/>
  <c r="F74" i="1" s="1"/>
  <c r="H75" i="1"/>
  <c r="F75" i="1" s="1"/>
  <c r="H76" i="1"/>
  <c r="F76" i="1" s="1"/>
  <c r="H77" i="1"/>
  <c r="F77" i="1" s="1"/>
  <c r="H78" i="1"/>
  <c r="F78" i="1" s="1"/>
  <c r="H79" i="1"/>
  <c r="F79" i="1" s="1"/>
  <c r="H80" i="1"/>
  <c r="F80" i="1" s="1"/>
  <c r="H81" i="1"/>
  <c r="F81" i="1" s="1"/>
  <c r="H82" i="1"/>
  <c r="F82" i="1" s="1"/>
  <c r="H83" i="1"/>
  <c r="F83" i="1" s="1"/>
  <c r="H84" i="1"/>
  <c r="F84" i="1" s="1"/>
  <c r="H85" i="1"/>
  <c r="F85" i="1" s="1"/>
  <c r="H86" i="1"/>
  <c r="F86" i="1" s="1"/>
  <c r="H87" i="1"/>
  <c r="F87" i="1" s="1"/>
  <c r="H88" i="1"/>
  <c r="F88" i="1" s="1"/>
  <c r="H89" i="1"/>
  <c r="F89" i="1" s="1"/>
  <c r="H90" i="1"/>
  <c r="F90" i="1" s="1"/>
  <c r="H91" i="1"/>
  <c r="F91" i="1" s="1"/>
  <c r="H92" i="1"/>
  <c r="F92" i="1" s="1"/>
  <c r="H93" i="1"/>
  <c r="F93" i="1" s="1"/>
  <c r="H94" i="1"/>
  <c r="F94" i="1" s="1"/>
  <c r="H95" i="1"/>
  <c r="F95" i="1" s="1"/>
  <c r="H96" i="1"/>
  <c r="F96" i="1" s="1"/>
  <c r="H97" i="1"/>
  <c r="F97" i="1" s="1"/>
  <c r="H98" i="1"/>
  <c r="F98" i="1" s="1"/>
  <c r="H99" i="1"/>
  <c r="F99" i="1" s="1"/>
  <c r="H100" i="1"/>
  <c r="F100" i="1" s="1"/>
  <c r="H101" i="1"/>
  <c r="F101" i="1" s="1"/>
  <c r="H102" i="1"/>
  <c r="F102" i="1" s="1"/>
  <c r="H103" i="1"/>
  <c r="F103" i="1" s="1"/>
  <c r="H104" i="1"/>
  <c r="F104" i="1" s="1"/>
  <c r="H105" i="1"/>
  <c r="F105" i="1" s="1"/>
  <c r="H106" i="1"/>
  <c r="F106" i="1" s="1"/>
  <c r="H107" i="1"/>
  <c r="F107" i="1" s="1"/>
  <c r="H108" i="1"/>
  <c r="F108" i="1" s="1"/>
  <c r="H109" i="1"/>
  <c r="F109" i="1" s="1"/>
  <c r="H110" i="1"/>
  <c r="F110" i="1" s="1"/>
  <c r="H111" i="1"/>
  <c r="F111" i="1" s="1"/>
  <c r="H112" i="1"/>
  <c r="F112" i="1" s="1"/>
  <c r="H113" i="1"/>
  <c r="F113" i="1" s="1"/>
  <c r="H114" i="1"/>
  <c r="F114" i="1" s="1"/>
  <c r="H115" i="1"/>
  <c r="F115" i="1" s="1"/>
  <c r="H116" i="1"/>
  <c r="F116" i="1" s="1"/>
  <c r="H117" i="1"/>
  <c r="F117" i="1" s="1"/>
  <c r="H118" i="1"/>
  <c r="F118" i="1" s="1"/>
  <c r="H119" i="1"/>
  <c r="F119" i="1" s="1"/>
  <c r="H120" i="1"/>
  <c r="F120" i="1" s="1"/>
  <c r="H121" i="1"/>
  <c r="F121" i="1" s="1"/>
  <c r="H122" i="1"/>
  <c r="F122" i="1" s="1"/>
  <c r="H123" i="1"/>
  <c r="F123" i="1" s="1"/>
  <c r="H124" i="1"/>
  <c r="F124" i="1" s="1"/>
  <c r="H125" i="1"/>
  <c r="F125" i="1" s="1"/>
  <c r="H126" i="1"/>
  <c r="F126" i="1" s="1"/>
  <c r="H127" i="1"/>
  <c r="F127" i="1" s="1"/>
  <c r="H128" i="1"/>
  <c r="F128" i="1" s="1"/>
  <c r="H129" i="1"/>
  <c r="F129" i="1" s="1"/>
  <c r="H130" i="1"/>
  <c r="F130" i="1" s="1"/>
  <c r="H131" i="1"/>
  <c r="F131" i="1" s="1"/>
  <c r="H132" i="1"/>
  <c r="F132" i="1" s="1"/>
  <c r="H133" i="1"/>
  <c r="F133" i="1" s="1"/>
  <c r="H134" i="1"/>
  <c r="F134" i="1" s="1"/>
  <c r="H135" i="1"/>
  <c r="F135" i="1" s="1"/>
  <c r="H136" i="1"/>
  <c r="F136" i="1" s="1"/>
  <c r="H137" i="1"/>
  <c r="F137" i="1" s="1"/>
  <c r="H138" i="1"/>
  <c r="F138" i="1" s="1"/>
  <c r="H139" i="1"/>
  <c r="F139" i="1" s="1"/>
  <c r="H140" i="1"/>
  <c r="F140" i="1" s="1"/>
  <c r="H141" i="1"/>
  <c r="F141" i="1" s="1"/>
  <c r="H142" i="1"/>
  <c r="F142" i="1" s="1"/>
  <c r="H143" i="1"/>
  <c r="F143" i="1" s="1"/>
  <c r="H144" i="1"/>
  <c r="F144" i="1" s="1"/>
  <c r="H145" i="1"/>
  <c r="F145" i="1" s="1"/>
  <c r="H146" i="1"/>
  <c r="F146" i="1" s="1"/>
  <c r="H147" i="1"/>
  <c r="F147" i="1" s="1"/>
  <c r="H148" i="1"/>
  <c r="F148" i="1" s="1"/>
  <c r="H149" i="1"/>
  <c r="F149" i="1" s="1"/>
  <c r="H150" i="1"/>
  <c r="F150" i="1" s="1"/>
  <c r="H151" i="1"/>
  <c r="F151" i="1" s="1"/>
  <c r="H152" i="1"/>
  <c r="F152" i="1" s="1"/>
  <c r="H153" i="1"/>
  <c r="F153" i="1" s="1"/>
  <c r="H154" i="1"/>
  <c r="F154" i="1" s="1"/>
  <c r="H155" i="1"/>
  <c r="F155" i="1" s="1"/>
  <c r="H156" i="1"/>
  <c r="F156" i="1" s="1"/>
  <c r="H157" i="1"/>
  <c r="F157" i="1" s="1"/>
  <c r="H158" i="1"/>
  <c r="F158" i="1" s="1"/>
  <c r="H159" i="1"/>
  <c r="F159" i="1" s="1"/>
  <c r="H160" i="1"/>
  <c r="F160" i="1" s="1"/>
  <c r="H161" i="1"/>
  <c r="F161" i="1" s="1"/>
  <c r="H162" i="1"/>
  <c r="F162" i="1" s="1"/>
  <c r="H163" i="1"/>
  <c r="F163" i="1" s="1"/>
  <c r="H164" i="1"/>
  <c r="F164" i="1" s="1"/>
  <c r="H165" i="1"/>
  <c r="F165" i="1" s="1"/>
  <c r="H166" i="1"/>
  <c r="F166" i="1" s="1"/>
  <c r="H167" i="1"/>
  <c r="F167" i="1" s="1"/>
  <c r="H168" i="1"/>
  <c r="F168" i="1" s="1"/>
  <c r="H169" i="1"/>
  <c r="F169" i="1" s="1"/>
  <c r="H170" i="1"/>
  <c r="F170" i="1" s="1"/>
  <c r="H171" i="1"/>
  <c r="F171" i="1" s="1"/>
  <c r="H172" i="1"/>
  <c r="F172" i="1" s="1"/>
  <c r="H173" i="1"/>
  <c r="F173" i="1" s="1"/>
  <c r="H174" i="1"/>
  <c r="F174" i="1" s="1"/>
  <c r="H175" i="1"/>
  <c r="F175" i="1" s="1"/>
  <c r="H176" i="1"/>
  <c r="F176" i="1" s="1"/>
  <c r="H177" i="1"/>
  <c r="F177" i="1" s="1"/>
  <c r="H178" i="1"/>
  <c r="F178" i="1" s="1"/>
  <c r="H179" i="1"/>
  <c r="F179" i="1" s="1"/>
  <c r="H180" i="1"/>
  <c r="F180" i="1" s="1"/>
  <c r="H181" i="1"/>
  <c r="F181" i="1" s="1"/>
  <c r="H182" i="1"/>
  <c r="F182" i="1" s="1"/>
  <c r="H183" i="1"/>
  <c r="F183" i="1" s="1"/>
  <c r="H184" i="1"/>
  <c r="F184" i="1" s="1"/>
  <c r="H185" i="1"/>
  <c r="F185" i="1" s="1"/>
  <c r="H186" i="1"/>
  <c r="F186" i="1" s="1"/>
  <c r="H187" i="1"/>
  <c r="F187" i="1" s="1"/>
  <c r="H188" i="1"/>
  <c r="F188" i="1" s="1"/>
  <c r="H189" i="1"/>
  <c r="F189" i="1" s="1"/>
  <c r="H190" i="1"/>
  <c r="F190" i="1" s="1"/>
  <c r="H191" i="1"/>
  <c r="F191" i="1" s="1"/>
  <c r="H192" i="1"/>
  <c r="F192" i="1" s="1"/>
  <c r="H193" i="1"/>
  <c r="F193" i="1" s="1"/>
  <c r="H194" i="1"/>
  <c r="F194" i="1" s="1"/>
  <c r="H195" i="1"/>
  <c r="F195" i="1" s="1"/>
  <c r="H196" i="1"/>
  <c r="F196" i="1" s="1"/>
  <c r="H197" i="1"/>
  <c r="F197" i="1" s="1"/>
  <c r="H198" i="1"/>
  <c r="F198" i="1" s="1"/>
  <c r="H199" i="1"/>
  <c r="F199" i="1" s="1"/>
  <c r="H200" i="1"/>
  <c r="F200" i="1" s="1"/>
  <c r="H201" i="1"/>
  <c r="F201" i="1" s="1"/>
  <c r="H202" i="1"/>
  <c r="F202" i="1" s="1"/>
  <c r="H203" i="1"/>
  <c r="F203" i="1" s="1"/>
  <c r="H204" i="1"/>
  <c r="F204" i="1" s="1"/>
  <c r="H205" i="1"/>
  <c r="F205" i="1" s="1"/>
  <c r="H206" i="1"/>
  <c r="F206" i="1" s="1"/>
  <c r="H207" i="1"/>
  <c r="F207" i="1" s="1"/>
  <c r="H208" i="1"/>
  <c r="F208" i="1" s="1"/>
  <c r="H209" i="1"/>
  <c r="F209" i="1" s="1"/>
  <c r="H210" i="1"/>
  <c r="F210" i="1" s="1"/>
  <c r="H211" i="1"/>
  <c r="F211" i="1" s="1"/>
  <c r="H212" i="1"/>
  <c r="F212" i="1" s="1"/>
  <c r="H213" i="1"/>
  <c r="F213" i="1" s="1"/>
  <c r="H214" i="1"/>
  <c r="F214" i="1" s="1"/>
  <c r="H215" i="1"/>
  <c r="F215" i="1" s="1"/>
  <c r="H216" i="1"/>
  <c r="F216" i="1" s="1"/>
  <c r="H217" i="1"/>
  <c r="F217" i="1" s="1"/>
  <c r="H218" i="1"/>
  <c r="F218" i="1" s="1"/>
  <c r="H219" i="1"/>
  <c r="F219" i="1" s="1"/>
  <c r="H220" i="1"/>
  <c r="F220" i="1" s="1"/>
  <c r="H221" i="1"/>
  <c r="F221" i="1" s="1"/>
  <c r="H222" i="1"/>
  <c r="F222" i="1" s="1"/>
  <c r="H223" i="1"/>
  <c r="F223" i="1" s="1"/>
  <c r="H224" i="1"/>
  <c r="F224" i="1" s="1"/>
  <c r="H225" i="1"/>
  <c r="F225" i="1" s="1"/>
  <c r="H226" i="1"/>
  <c r="F226" i="1" s="1"/>
  <c r="H227" i="1"/>
  <c r="F227" i="1" s="1"/>
  <c r="H228" i="1"/>
  <c r="F228" i="1" s="1"/>
  <c r="H229" i="1"/>
  <c r="F229" i="1" s="1"/>
  <c r="H230" i="1"/>
  <c r="F230" i="1" s="1"/>
  <c r="H231" i="1"/>
  <c r="F231" i="1" s="1"/>
  <c r="H232" i="1"/>
  <c r="F232" i="1" s="1"/>
  <c r="H233" i="1"/>
  <c r="F233" i="1" s="1"/>
  <c r="H234" i="1"/>
  <c r="F234" i="1" s="1"/>
  <c r="H235" i="1"/>
  <c r="F235" i="1" s="1"/>
  <c r="H236" i="1"/>
  <c r="F236" i="1" s="1"/>
  <c r="H237" i="1"/>
  <c r="F237" i="1" s="1"/>
  <c r="H238" i="1"/>
  <c r="F238" i="1" s="1"/>
  <c r="H239" i="1"/>
  <c r="F239" i="1" s="1"/>
  <c r="H240" i="1"/>
  <c r="F240" i="1" s="1"/>
  <c r="H241" i="1"/>
  <c r="F241" i="1" s="1"/>
  <c r="H242" i="1"/>
  <c r="F242" i="1" s="1"/>
  <c r="H243" i="1"/>
  <c r="F243" i="1" s="1"/>
  <c r="H244" i="1"/>
  <c r="F244" i="1" s="1"/>
  <c r="H245" i="1"/>
  <c r="F245" i="1" s="1"/>
  <c r="H246" i="1"/>
  <c r="F246" i="1" s="1"/>
  <c r="H247" i="1"/>
  <c r="F247" i="1" s="1"/>
  <c r="H248" i="1"/>
  <c r="F248" i="1" s="1"/>
  <c r="H249" i="1"/>
  <c r="F249" i="1" s="1"/>
  <c r="H250" i="1"/>
  <c r="F250" i="1" s="1"/>
  <c r="H251" i="1"/>
  <c r="F251" i="1" s="1"/>
  <c r="H252" i="1"/>
  <c r="F252" i="1" s="1"/>
  <c r="H253" i="1"/>
  <c r="F253" i="1" s="1"/>
  <c r="H254" i="1"/>
  <c r="F254" i="1" s="1"/>
  <c r="H255" i="1"/>
  <c r="F255" i="1" s="1"/>
  <c r="H256" i="1"/>
  <c r="F256" i="1" s="1"/>
  <c r="H257" i="1"/>
  <c r="F257" i="1" s="1"/>
  <c r="H258" i="1"/>
  <c r="F258" i="1" s="1"/>
  <c r="H259" i="1"/>
  <c r="F259" i="1" s="1"/>
  <c r="H260" i="1"/>
  <c r="F260" i="1" s="1"/>
  <c r="H261" i="1"/>
  <c r="F261" i="1" s="1"/>
  <c r="H262" i="1"/>
  <c r="F262" i="1" s="1"/>
  <c r="H263" i="1"/>
  <c r="F263" i="1" s="1"/>
  <c r="H264" i="1"/>
  <c r="F264" i="1" s="1"/>
  <c r="H265" i="1"/>
  <c r="F265" i="1" s="1"/>
  <c r="H266" i="1"/>
  <c r="F266" i="1" s="1"/>
  <c r="H267" i="1"/>
  <c r="F267" i="1" s="1"/>
  <c r="H268" i="1"/>
  <c r="F268" i="1" s="1"/>
  <c r="H269" i="1"/>
  <c r="F269" i="1" s="1"/>
  <c r="H270" i="1"/>
  <c r="F270" i="1" s="1"/>
  <c r="H271" i="1"/>
  <c r="F271" i="1" s="1"/>
  <c r="H272" i="1"/>
  <c r="F272" i="1" s="1"/>
  <c r="H273" i="1"/>
  <c r="F273" i="1" s="1"/>
  <c r="H274" i="1"/>
  <c r="F274" i="1" s="1"/>
  <c r="H275" i="1"/>
  <c r="F275" i="1" s="1"/>
  <c r="H276" i="1"/>
  <c r="F276" i="1" s="1"/>
  <c r="H277" i="1"/>
  <c r="F277" i="1" s="1"/>
  <c r="H278" i="1"/>
  <c r="F278" i="1" s="1"/>
  <c r="H279" i="1"/>
  <c r="F279" i="1" s="1"/>
  <c r="H280" i="1"/>
  <c r="F280" i="1" s="1"/>
  <c r="H281" i="1"/>
  <c r="F281" i="1" s="1"/>
  <c r="H282" i="1"/>
  <c r="F282" i="1" s="1"/>
  <c r="H283" i="1"/>
  <c r="F283" i="1" s="1"/>
  <c r="H284" i="1"/>
  <c r="F284" i="1" s="1"/>
  <c r="H285" i="1"/>
  <c r="F285" i="1" s="1"/>
  <c r="H286" i="1"/>
  <c r="F286" i="1" s="1"/>
  <c r="H287" i="1"/>
  <c r="F287" i="1" s="1"/>
  <c r="H288" i="1"/>
  <c r="F288" i="1" s="1"/>
  <c r="H289" i="1"/>
  <c r="F289" i="1" s="1"/>
  <c r="H290" i="1"/>
  <c r="F290" i="1" s="1"/>
  <c r="H291" i="1"/>
  <c r="F291" i="1" s="1"/>
  <c r="H292" i="1"/>
  <c r="F292" i="1" s="1"/>
  <c r="H293" i="1"/>
  <c r="F293" i="1" s="1"/>
  <c r="H294" i="1"/>
  <c r="F294" i="1" s="1"/>
  <c r="H295" i="1"/>
  <c r="F295" i="1" s="1"/>
  <c r="H296" i="1"/>
  <c r="F296" i="1" s="1"/>
  <c r="H297" i="1"/>
  <c r="F297" i="1" s="1"/>
  <c r="H298" i="1"/>
  <c r="F298" i="1" s="1"/>
  <c r="H299" i="1"/>
  <c r="F299" i="1" s="1"/>
  <c r="H300" i="1"/>
  <c r="F300" i="1" s="1"/>
  <c r="H301" i="1"/>
  <c r="F301" i="1" s="1"/>
  <c r="H302" i="1"/>
  <c r="F302" i="1" s="1"/>
  <c r="H303" i="1"/>
  <c r="F303" i="1" s="1"/>
  <c r="H304" i="1"/>
  <c r="F304" i="1" s="1"/>
  <c r="H305" i="1"/>
  <c r="F305" i="1" s="1"/>
  <c r="H306" i="1"/>
  <c r="F306" i="1" s="1"/>
  <c r="H307" i="1"/>
  <c r="F307" i="1" s="1"/>
  <c r="H308" i="1"/>
  <c r="F308" i="1" s="1"/>
  <c r="H309" i="1"/>
  <c r="F309" i="1" s="1"/>
  <c r="H310" i="1"/>
  <c r="F310" i="1" s="1"/>
  <c r="H311" i="1"/>
  <c r="F311" i="1" s="1"/>
  <c r="H312" i="1"/>
  <c r="F312" i="1" s="1"/>
  <c r="H313" i="1"/>
  <c r="F313" i="1" s="1"/>
  <c r="H314" i="1"/>
  <c r="F314" i="1" s="1"/>
  <c r="H315" i="1"/>
  <c r="F315" i="1" s="1"/>
  <c r="H316" i="1"/>
  <c r="F316" i="1" s="1"/>
  <c r="H317" i="1"/>
  <c r="F317" i="1" s="1"/>
  <c r="H318" i="1"/>
  <c r="F318" i="1" s="1"/>
  <c r="H319" i="1"/>
  <c r="F319" i="1" s="1"/>
  <c r="H320" i="1"/>
  <c r="F320" i="1" s="1"/>
  <c r="H321" i="1"/>
  <c r="F321" i="1" s="1"/>
  <c r="H322" i="1"/>
  <c r="F322" i="1" s="1"/>
  <c r="H323" i="1"/>
  <c r="F323" i="1" s="1"/>
  <c r="H324" i="1"/>
  <c r="F324" i="1" s="1"/>
  <c r="H325" i="1"/>
  <c r="F325" i="1" s="1"/>
  <c r="H326" i="1"/>
  <c r="F326" i="1" s="1"/>
  <c r="H327" i="1"/>
  <c r="F327" i="1" s="1"/>
  <c r="H328" i="1"/>
  <c r="F328" i="1" s="1"/>
  <c r="H329" i="1"/>
  <c r="F329" i="1" s="1"/>
  <c r="H330" i="1"/>
  <c r="F330" i="1" s="1"/>
  <c r="H331" i="1"/>
  <c r="F331" i="1" s="1"/>
  <c r="H332" i="1"/>
  <c r="F332" i="1" s="1"/>
  <c r="H333" i="1"/>
  <c r="F333" i="1" s="1"/>
  <c r="H334" i="1"/>
  <c r="F334" i="1" s="1"/>
  <c r="H335" i="1"/>
  <c r="F335" i="1" s="1"/>
  <c r="H336" i="1"/>
  <c r="F336" i="1" s="1"/>
  <c r="H337" i="1"/>
  <c r="F337" i="1" s="1"/>
  <c r="H338" i="1"/>
  <c r="F338" i="1" s="1"/>
  <c r="H339" i="1"/>
  <c r="F339" i="1" s="1"/>
  <c r="H340" i="1"/>
  <c r="F340" i="1" s="1"/>
  <c r="H341" i="1"/>
  <c r="F341" i="1" s="1"/>
  <c r="H342" i="1"/>
  <c r="F342" i="1" s="1"/>
  <c r="H343" i="1"/>
  <c r="F343" i="1" s="1"/>
  <c r="H344" i="1"/>
  <c r="F344" i="1" s="1"/>
  <c r="H345" i="1"/>
  <c r="F345" i="1" s="1"/>
  <c r="H346" i="1"/>
  <c r="F346" i="1" s="1"/>
  <c r="H347" i="1"/>
  <c r="F347" i="1" s="1"/>
  <c r="H348" i="1"/>
  <c r="F348" i="1" s="1"/>
  <c r="H349" i="1"/>
  <c r="F349" i="1" s="1"/>
  <c r="H350" i="1"/>
  <c r="F350" i="1" s="1"/>
  <c r="H351" i="1"/>
  <c r="F351" i="1" s="1"/>
  <c r="H352" i="1"/>
  <c r="F352" i="1" s="1"/>
  <c r="H353" i="1"/>
  <c r="F353" i="1" s="1"/>
  <c r="H354" i="1"/>
  <c r="F354" i="1" s="1"/>
  <c r="H355" i="1"/>
  <c r="F355" i="1" s="1"/>
  <c r="H356" i="1"/>
  <c r="F356" i="1" s="1"/>
  <c r="H357" i="1"/>
  <c r="F357" i="1" s="1"/>
  <c r="H358" i="1"/>
  <c r="F358" i="1" s="1"/>
  <c r="H359" i="1"/>
  <c r="F359" i="1" s="1"/>
  <c r="H360" i="1"/>
  <c r="F360" i="1" s="1"/>
  <c r="H361" i="1"/>
  <c r="F361" i="1" s="1"/>
  <c r="H362" i="1"/>
  <c r="F362" i="1" s="1"/>
  <c r="H363" i="1"/>
  <c r="F363" i="1" s="1"/>
  <c r="H364" i="1"/>
  <c r="F364" i="1" s="1"/>
  <c r="H365" i="1"/>
  <c r="F365" i="1" s="1"/>
  <c r="H366" i="1"/>
  <c r="F366" i="1" s="1"/>
  <c r="H367" i="1"/>
  <c r="F367" i="1" s="1"/>
  <c r="H368" i="1"/>
  <c r="F368" i="1" s="1"/>
  <c r="H369" i="1"/>
  <c r="F369" i="1" s="1"/>
  <c r="H370" i="1"/>
  <c r="F370" i="1" s="1"/>
  <c r="H371" i="1"/>
  <c r="F371" i="1" s="1"/>
  <c r="H372" i="1"/>
  <c r="F372" i="1" s="1"/>
  <c r="H373" i="1"/>
  <c r="F373" i="1" s="1"/>
  <c r="H374" i="1"/>
  <c r="F374" i="1" s="1"/>
  <c r="H375" i="1"/>
  <c r="F375" i="1" s="1"/>
  <c r="H376" i="1"/>
  <c r="F376" i="1" s="1"/>
  <c r="H377" i="1"/>
  <c r="F377" i="1" s="1"/>
  <c r="H378" i="1"/>
  <c r="F378" i="1" s="1"/>
  <c r="H379" i="1"/>
  <c r="F379" i="1" s="1"/>
  <c r="H380" i="1"/>
  <c r="F380" i="1" s="1"/>
  <c r="H381" i="1"/>
  <c r="F381" i="1" s="1"/>
  <c r="H382" i="1"/>
  <c r="F382" i="1" s="1"/>
  <c r="H383" i="1"/>
  <c r="F383" i="1" s="1"/>
  <c r="H384" i="1"/>
  <c r="F384" i="1" s="1"/>
  <c r="H385" i="1"/>
  <c r="F385" i="1" s="1"/>
  <c r="H386" i="1"/>
  <c r="F386" i="1" s="1"/>
  <c r="H387" i="1"/>
  <c r="F387" i="1" s="1"/>
  <c r="H388" i="1"/>
  <c r="F388" i="1" s="1"/>
  <c r="H389" i="1"/>
  <c r="F389" i="1" s="1"/>
  <c r="H390" i="1"/>
  <c r="F390" i="1" s="1"/>
  <c r="H391" i="1"/>
  <c r="F391" i="1" s="1"/>
  <c r="H392" i="1"/>
  <c r="F392" i="1" s="1"/>
  <c r="H393" i="1"/>
  <c r="F393" i="1" s="1"/>
  <c r="H394" i="1"/>
  <c r="F394" i="1" s="1"/>
  <c r="H395" i="1"/>
  <c r="F395" i="1" s="1"/>
  <c r="H396" i="1"/>
  <c r="F396" i="1" s="1"/>
  <c r="H397" i="1"/>
  <c r="F397" i="1" s="1"/>
  <c r="H398" i="1"/>
  <c r="F398" i="1" s="1"/>
  <c r="H399" i="1"/>
  <c r="F399" i="1" s="1"/>
  <c r="H400" i="1"/>
  <c r="F400" i="1" s="1"/>
  <c r="H401" i="1"/>
  <c r="F401" i="1" s="1"/>
  <c r="H402" i="1"/>
  <c r="F402" i="1" s="1"/>
  <c r="H403" i="1"/>
  <c r="F403" i="1" s="1"/>
  <c r="H404" i="1"/>
  <c r="F404" i="1" s="1"/>
  <c r="H405" i="1"/>
  <c r="F405" i="1" s="1"/>
  <c r="H406" i="1"/>
  <c r="F406" i="1" s="1"/>
  <c r="H407" i="1"/>
  <c r="F407" i="1" s="1"/>
  <c r="H408" i="1"/>
  <c r="F408" i="1" s="1"/>
  <c r="H409" i="1"/>
  <c r="F409" i="1" s="1"/>
  <c r="H410" i="1"/>
  <c r="F410" i="1" s="1"/>
  <c r="H411" i="1"/>
  <c r="F411" i="1" s="1"/>
  <c r="H412" i="1"/>
  <c r="F412" i="1" s="1"/>
  <c r="H413" i="1"/>
  <c r="F413" i="1" s="1"/>
  <c r="H414" i="1"/>
  <c r="F414" i="1" s="1"/>
  <c r="H415" i="1"/>
  <c r="F415" i="1" s="1"/>
  <c r="H416" i="1"/>
  <c r="F416" i="1" s="1"/>
  <c r="H417" i="1"/>
  <c r="F417" i="1" s="1"/>
  <c r="H418" i="1"/>
  <c r="F418" i="1" s="1"/>
  <c r="H419" i="1"/>
  <c r="F419" i="1" s="1"/>
  <c r="H420" i="1"/>
  <c r="F420" i="1" s="1"/>
  <c r="H421" i="1"/>
  <c r="F421" i="1" s="1"/>
  <c r="H422" i="1"/>
  <c r="F422" i="1" s="1"/>
  <c r="H423" i="1"/>
  <c r="F423" i="1" s="1"/>
  <c r="H424" i="1"/>
  <c r="F424" i="1" s="1"/>
  <c r="H425" i="1"/>
  <c r="F425" i="1" s="1"/>
  <c r="H426" i="1"/>
  <c r="F426" i="1" s="1"/>
  <c r="H427" i="1"/>
  <c r="F427" i="1" s="1"/>
  <c r="H428" i="1"/>
  <c r="F428" i="1" s="1"/>
  <c r="H429" i="1"/>
  <c r="F429" i="1" s="1"/>
  <c r="H430" i="1"/>
  <c r="F430" i="1" s="1"/>
  <c r="H431" i="1"/>
  <c r="F431" i="1" s="1"/>
  <c r="H432" i="1"/>
  <c r="F432" i="1" s="1"/>
  <c r="H433" i="1"/>
  <c r="F433" i="1" s="1"/>
  <c r="H434" i="1"/>
  <c r="F434" i="1" s="1"/>
  <c r="H435" i="1"/>
  <c r="F435" i="1" s="1"/>
  <c r="H436" i="1"/>
  <c r="F436" i="1" s="1"/>
  <c r="H437" i="1"/>
  <c r="F437" i="1" s="1"/>
  <c r="H438" i="1"/>
  <c r="F438" i="1" s="1"/>
  <c r="H439" i="1"/>
  <c r="F439" i="1" s="1"/>
  <c r="H440" i="1"/>
  <c r="F440" i="1" s="1"/>
  <c r="H441" i="1"/>
  <c r="F441" i="1" s="1"/>
  <c r="H442" i="1"/>
  <c r="F442" i="1" s="1"/>
  <c r="H443" i="1"/>
  <c r="F443" i="1" s="1"/>
  <c r="H444" i="1"/>
  <c r="F444" i="1" s="1"/>
  <c r="H445" i="1"/>
  <c r="F445" i="1" s="1"/>
  <c r="H446" i="1"/>
  <c r="F446" i="1" s="1"/>
  <c r="H447" i="1"/>
  <c r="F447" i="1" s="1"/>
  <c r="H448" i="1"/>
  <c r="F448" i="1" s="1"/>
  <c r="H449" i="1"/>
  <c r="F449" i="1" s="1"/>
  <c r="H450" i="1"/>
  <c r="F450" i="1" s="1"/>
  <c r="H451" i="1"/>
  <c r="F451" i="1" s="1"/>
  <c r="H452" i="1"/>
  <c r="F452" i="1" s="1"/>
  <c r="H453" i="1"/>
  <c r="F453" i="1" s="1"/>
  <c r="H454" i="1"/>
  <c r="F454" i="1" s="1"/>
  <c r="H455" i="1"/>
  <c r="F455" i="1" s="1"/>
  <c r="H456" i="1"/>
  <c r="F456" i="1" s="1"/>
  <c r="H457" i="1"/>
  <c r="F457" i="1" s="1"/>
  <c r="H458" i="1"/>
  <c r="F458" i="1" s="1"/>
  <c r="H459" i="1"/>
  <c r="F459" i="1" s="1"/>
  <c r="H460" i="1"/>
  <c r="F460" i="1" s="1"/>
  <c r="H461" i="1"/>
  <c r="F461" i="1" s="1"/>
  <c r="H462" i="1"/>
  <c r="F462" i="1" s="1"/>
  <c r="H463" i="1"/>
  <c r="F463" i="1" s="1"/>
  <c r="H464" i="1"/>
  <c r="F464" i="1" s="1"/>
  <c r="H465" i="1"/>
  <c r="F465" i="1" s="1"/>
  <c r="H466" i="1"/>
  <c r="F466" i="1" s="1"/>
  <c r="H467" i="1"/>
  <c r="F467" i="1" s="1"/>
  <c r="H468" i="1"/>
  <c r="F468" i="1" s="1"/>
  <c r="H469" i="1"/>
  <c r="F469" i="1" s="1"/>
  <c r="H470" i="1"/>
  <c r="F470" i="1" s="1"/>
  <c r="H471" i="1"/>
  <c r="F471" i="1" s="1"/>
  <c r="H472" i="1"/>
  <c r="F472" i="1" s="1"/>
  <c r="H473" i="1"/>
  <c r="F473" i="1" s="1"/>
  <c r="H474" i="1"/>
  <c r="F474" i="1" s="1"/>
  <c r="H475" i="1"/>
  <c r="F475" i="1" s="1"/>
  <c r="H476" i="1"/>
  <c r="F476" i="1" s="1"/>
  <c r="H477" i="1"/>
  <c r="F477" i="1" s="1"/>
  <c r="H478" i="1"/>
  <c r="F478" i="1" s="1"/>
  <c r="H479" i="1"/>
  <c r="F479" i="1" s="1"/>
  <c r="H480" i="1"/>
  <c r="F480" i="1" s="1"/>
  <c r="H481" i="1"/>
  <c r="F481" i="1" s="1"/>
  <c r="H482" i="1"/>
  <c r="F482" i="1" s="1"/>
  <c r="H483" i="1"/>
  <c r="F483" i="1" s="1"/>
  <c r="H484" i="1"/>
  <c r="F484" i="1" s="1"/>
  <c r="H485" i="1"/>
  <c r="F485" i="1" s="1"/>
  <c r="H486" i="1"/>
  <c r="F486" i="1" s="1"/>
  <c r="H487" i="1"/>
  <c r="F487" i="1" s="1"/>
  <c r="H488" i="1"/>
  <c r="F488" i="1" s="1"/>
  <c r="H489" i="1"/>
  <c r="F489" i="1" s="1"/>
  <c r="H490" i="1"/>
  <c r="F490" i="1" s="1"/>
  <c r="H491" i="1"/>
  <c r="F491" i="1" s="1"/>
  <c r="H492" i="1"/>
  <c r="F492" i="1" s="1"/>
  <c r="H493" i="1"/>
  <c r="F493" i="1" s="1"/>
  <c r="H494" i="1"/>
  <c r="F494" i="1" s="1"/>
  <c r="H495" i="1"/>
  <c r="F495" i="1" s="1"/>
  <c r="H496" i="1"/>
  <c r="F496" i="1" s="1"/>
  <c r="H497" i="1"/>
  <c r="F497" i="1" s="1"/>
  <c r="H498" i="1"/>
  <c r="F498" i="1" s="1"/>
  <c r="H499" i="1"/>
  <c r="F499" i="1" s="1"/>
  <c r="H500" i="1"/>
  <c r="F500" i="1" s="1"/>
  <c r="H501" i="1"/>
  <c r="F501" i="1" s="1"/>
  <c r="H502" i="1"/>
  <c r="F502" i="1" s="1"/>
  <c r="H503" i="1"/>
  <c r="F503" i="1" s="1"/>
  <c r="H504" i="1"/>
  <c r="F504" i="1" s="1"/>
  <c r="H505" i="1"/>
  <c r="F505" i="1" s="1"/>
  <c r="H506" i="1"/>
  <c r="F506" i="1" s="1"/>
  <c r="H507" i="1"/>
  <c r="F507" i="1" s="1"/>
  <c r="H508" i="1"/>
  <c r="F508" i="1" s="1"/>
  <c r="H509" i="1"/>
  <c r="F509" i="1" s="1"/>
  <c r="H510" i="1"/>
  <c r="F510" i="1" s="1"/>
  <c r="H511" i="1"/>
  <c r="F511" i="1" s="1"/>
  <c r="H512" i="1"/>
  <c r="F512" i="1" s="1"/>
  <c r="H513" i="1"/>
  <c r="F513" i="1" s="1"/>
  <c r="H514" i="1"/>
  <c r="F514" i="1" s="1"/>
  <c r="H515" i="1"/>
  <c r="F515" i="1" s="1"/>
  <c r="H516" i="1"/>
  <c r="F516" i="1" s="1"/>
  <c r="H517" i="1"/>
  <c r="F517" i="1" s="1"/>
  <c r="H518" i="1"/>
  <c r="F518" i="1" s="1"/>
  <c r="H519" i="1"/>
  <c r="F519" i="1" s="1"/>
  <c r="H520" i="1"/>
  <c r="F520" i="1" s="1"/>
  <c r="H521" i="1"/>
  <c r="F521" i="1" s="1"/>
  <c r="H522" i="1"/>
  <c r="F522" i="1" s="1"/>
  <c r="H523" i="1"/>
  <c r="F523" i="1" s="1"/>
  <c r="H524" i="1"/>
  <c r="F524" i="1" s="1"/>
  <c r="H525" i="1"/>
  <c r="F525" i="1" s="1"/>
  <c r="H526" i="1"/>
  <c r="F526" i="1" s="1"/>
  <c r="H527" i="1"/>
  <c r="F527" i="1" s="1"/>
  <c r="H528" i="1"/>
  <c r="F528" i="1" s="1"/>
  <c r="H529" i="1"/>
  <c r="F529" i="1" s="1"/>
  <c r="H530" i="1"/>
  <c r="F530" i="1" s="1"/>
  <c r="H531" i="1"/>
  <c r="F531" i="1" s="1"/>
  <c r="H532" i="1"/>
  <c r="F532" i="1" s="1"/>
  <c r="H533" i="1"/>
  <c r="F533" i="1" s="1"/>
  <c r="H534" i="1"/>
  <c r="F534" i="1" s="1"/>
  <c r="H535" i="1"/>
  <c r="F535" i="1" s="1"/>
  <c r="H536" i="1"/>
  <c r="F536" i="1" s="1"/>
  <c r="H537" i="1"/>
  <c r="F537" i="1" s="1"/>
  <c r="H538" i="1"/>
  <c r="F538" i="1" s="1"/>
  <c r="H539" i="1"/>
  <c r="F539" i="1" s="1"/>
  <c r="H540" i="1"/>
  <c r="F540" i="1" s="1"/>
  <c r="H541" i="1"/>
  <c r="F541" i="1" s="1"/>
  <c r="H542" i="1"/>
  <c r="F542" i="1" s="1"/>
  <c r="H543" i="1"/>
  <c r="F543" i="1" s="1"/>
  <c r="H544" i="1"/>
  <c r="F544" i="1" s="1"/>
  <c r="H545" i="1"/>
  <c r="F545" i="1" s="1"/>
  <c r="H546" i="1"/>
  <c r="F546" i="1" s="1"/>
  <c r="H547" i="1"/>
  <c r="F547" i="1" s="1"/>
  <c r="H548" i="1"/>
  <c r="F548" i="1" s="1"/>
  <c r="H549" i="1"/>
  <c r="F549" i="1" s="1"/>
  <c r="H550" i="1"/>
  <c r="F550" i="1" s="1"/>
  <c r="H551" i="1"/>
  <c r="F551" i="1" s="1"/>
  <c r="H552" i="1"/>
  <c r="F552" i="1" s="1"/>
  <c r="H553" i="1"/>
  <c r="F553" i="1" s="1"/>
  <c r="H554" i="1"/>
  <c r="F554" i="1" s="1"/>
  <c r="H555" i="1"/>
  <c r="F555" i="1" s="1"/>
  <c r="H556" i="1"/>
  <c r="F556" i="1" s="1"/>
  <c r="H557" i="1"/>
  <c r="F557" i="1" s="1"/>
  <c r="H558" i="1"/>
  <c r="F558" i="1" s="1"/>
  <c r="H559" i="1"/>
  <c r="F559" i="1" s="1"/>
  <c r="H560" i="1"/>
  <c r="F560" i="1" s="1"/>
  <c r="H561" i="1"/>
  <c r="F561" i="1" s="1"/>
  <c r="H562" i="1"/>
  <c r="F562" i="1" s="1"/>
  <c r="H563" i="1"/>
  <c r="F563" i="1" s="1"/>
  <c r="H564" i="1"/>
  <c r="F564" i="1" s="1"/>
  <c r="H565" i="1"/>
  <c r="F565" i="1" s="1"/>
  <c r="H566" i="1"/>
  <c r="F566" i="1" s="1"/>
  <c r="H567" i="1"/>
  <c r="F567" i="1" s="1"/>
  <c r="H568" i="1"/>
  <c r="F568" i="1" s="1"/>
  <c r="H569" i="1"/>
  <c r="F569" i="1" s="1"/>
  <c r="H570" i="1"/>
  <c r="F570" i="1" s="1"/>
  <c r="H571" i="1"/>
  <c r="F571" i="1" s="1"/>
  <c r="H572" i="1"/>
  <c r="F572" i="1" s="1"/>
  <c r="H573" i="1"/>
  <c r="F573" i="1" s="1"/>
  <c r="H574" i="1"/>
  <c r="F574" i="1" s="1"/>
  <c r="H575" i="1"/>
  <c r="F575" i="1" s="1"/>
  <c r="H576" i="1"/>
  <c r="F576" i="1" s="1"/>
  <c r="H577" i="1"/>
  <c r="F577" i="1" s="1"/>
  <c r="H578" i="1"/>
  <c r="F578" i="1" s="1"/>
  <c r="H579" i="1"/>
  <c r="F579" i="1" s="1"/>
  <c r="H580" i="1"/>
  <c r="F580" i="1" s="1"/>
  <c r="H581" i="1"/>
  <c r="F581" i="1" s="1"/>
  <c r="H582" i="1"/>
  <c r="F582" i="1" s="1"/>
  <c r="H583" i="1"/>
  <c r="F583" i="1" s="1"/>
  <c r="H584" i="1"/>
  <c r="F584" i="1" s="1"/>
  <c r="H585" i="1"/>
  <c r="F585" i="1" s="1"/>
  <c r="H586" i="1"/>
  <c r="F586" i="1" s="1"/>
  <c r="H587" i="1"/>
  <c r="F587" i="1" s="1"/>
  <c r="H588" i="1"/>
  <c r="F588" i="1" s="1"/>
  <c r="H589" i="1"/>
  <c r="F589" i="1" s="1"/>
  <c r="H590" i="1"/>
  <c r="F590" i="1" s="1"/>
  <c r="H591" i="1"/>
  <c r="F591" i="1" s="1"/>
  <c r="H592" i="1"/>
  <c r="F592" i="1" s="1"/>
  <c r="H593" i="1"/>
  <c r="F593" i="1" s="1"/>
  <c r="H594" i="1"/>
  <c r="F594" i="1" s="1"/>
  <c r="H595" i="1"/>
  <c r="F595" i="1" s="1"/>
  <c r="H596" i="1"/>
  <c r="F596" i="1" s="1"/>
  <c r="H597" i="1"/>
  <c r="F597" i="1" s="1"/>
  <c r="H598" i="1"/>
  <c r="F598" i="1" s="1"/>
  <c r="H599" i="1"/>
  <c r="F599" i="1" s="1"/>
  <c r="H600" i="1"/>
  <c r="F600" i="1" s="1"/>
  <c r="H601" i="1"/>
  <c r="F601" i="1" s="1"/>
  <c r="H602" i="1"/>
  <c r="F602" i="1" s="1"/>
  <c r="H603" i="1"/>
  <c r="F603" i="1" s="1"/>
  <c r="H604" i="1"/>
  <c r="F604" i="1" s="1"/>
  <c r="H605" i="1"/>
  <c r="F605" i="1" s="1"/>
  <c r="H606" i="1"/>
  <c r="F606" i="1" s="1"/>
  <c r="H607" i="1"/>
  <c r="F607" i="1" s="1"/>
  <c r="H608" i="1"/>
  <c r="F608" i="1" s="1"/>
  <c r="H609" i="1"/>
  <c r="F609" i="1" s="1"/>
  <c r="H610" i="1"/>
  <c r="F610" i="1" s="1"/>
  <c r="H611" i="1"/>
  <c r="F611" i="1" s="1"/>
  <c r="H612" i="1"/>
  <c r="F612" i="1" s="1"/>
  <c r="H613" i="1"/>
  <c r="F613" i="1" s="1"/>
  <c r="H614" i="1"/>
  <c r="F614" i="1" s="1"/>
  <c r="H615" i="1"/>
  <c r="F615" i="1" s="1"/>
  <c r="H616" i="1"/>
  <c r="F616" i="1" s="1"/>
  <c r="H617" i="1"/>
  <c r="F617" i="1" s="1"/>
  <c r="H618" i="1"/>
  <c r="F618" i="1" s="1"/>
  <c r="H619" i="1"/>
  <c r="F619" i="1" s="1"/>
  <c r="H620" i="1"/>
  <c r="F620" i="1" s="1"/>
  <c r="H621" i="1"/>
  <c r="F621" i="1" s="1"/>
  <c r="H622" i="1"/>
  <c r="F622" i="1" s="1"/>
  <c r="H623" i="1"/>
  <c r="F623" i="1" s="1"/>
  <c r="H624" i="1"/>
  <c r="F624" i="1" s="1"/>
  <c r="H625" i="1"/>
  <c r="F625" i="1" s="1"/>
  <c r="H626" i="1"/>
  <c r="F626" i="1" s="1"/>
  <c r="H627" i="1"/>
  <c r="F627" i="1" s="1"/>
  <c r="H628" i="1"/>
  <c r="F628" i="1" s="1"/>
  <c r="H629" i="1"/>
  <c r="F629" i="1" s="1"/>
  <c r="H630" i="1"/>
  <c r="F630" i="1" s="1"/>
  <c r="H631" i="1"/>
  <c r="F631" i="1" s="1"/>
  <c r="H632" i="1"/>
  <c r="F632" i="1" s="1"/>
  <c r="H633" i="1"/>
  <c r="F633" i="1" s="1"/>
  <c r="H634" i="1"/>
  <c r="F634" i="1" s="1"/>
  <c r="H635" i="1"/>
  <c r="F635" i="1" s="1"/>
  <c r="H636" i="1"/>
  <c r="F636" i="1" s="1"/>
  <c r="H637" i="1"/>
  <c r="F637" i="1" s="1"/>
  <c r="H638" i="1"/>
  <c r="F638" i="1" s="1"/>
  <c r="H639" i="1"/>
  <c r="F639" i="1" s="1"/>
  <c r="H640" i="1"/>
  <c r="F640" i="1" s="1"/>
  <c r="H641" i="1"/>
  <c r="F641" i="1" s="1"/>
  <c r="H642" i="1"/>
  <c r="F642" i="1" s="1"/>
  <c r="H643" i="1"/>
  <c r="F643" i="1" s="1"/>
  <c r="H644" i="1"/>
  <c r="F644" i="1" s="1"/>
  <c r="H645" i="1"/>
  <c r="F645" i="1" s="1"/>
  <c r="H646" i="1"/>
  <c r="F646" i="1" s="1"/>
  <c r="H647" i="1"/>
  <c r="F647" i="1" s="1"/>
  <c r="H648" i="1"/>
  <c r="F648" i="1" s="1"/>
  <c r="H649" i="1"/>
  <c r="F649" i="1" s="1"/>
  <c r="H650" i="1"/>
  <c r="F650" i="1" s="1"/>
  <c r="H651" i="1"/>
  <c r="F651" i="1" s="1"/>
  <c r="H652" i="1"/>
  <c r="F652" i="1" s="1"/>
  <c r="H653" i="1"/>
  <c r="F653" i="1" s="1"/>
  <c r="H654" i="1"/>
  <c r="F654" i="1" s="1"/>
  <c r="H655" i="1"/>
  <c r="F655" i="1" s="1"/>
  <c r="H656" i="1"/>
  <c r="F656" i="1" s="1"/>
  <c r="H657" i="1"/>
  <c r="F657" i="1" s="1"/>
  <c r="H658" i="1"/>
  <c r="F658" i="1" s="1"/>
  <c r="H659" i="1"/>
  <c r="F659" i="1" s="1"/>
  <c r="H660" i="1"/>
  <c r="F660" i="1" s="1"/>
  <c r="H661" i="1"/>
  <c r="F661" i="1" s="1"/>
  <c r="H662" i="1"/>
  <c r="F662" i="1" s="1"/>
  <c r="H663" i="1"/>
  <c r="F663" i="1" s="1"/>
  <c r="H664" i="1"/>
  <c r="F664" i="1" s="1"/>
  <c r="H665" i="1"/>
  <c r="F665" i="1" s="1"/>
  <c r="H666" i="1"/>
  <c r="F666" i="1" s="1"/>
  <c r="H667" i="1"/>
  <c r="F667" i="1" s="1"/>
  <c r="H668" i="1"/>
  <c r="F668" i="1" s="1"/>
  <c r="H669" i="1"/>
  <c r="F669" i="1" s="1"/>
  <c r="H670" i="1"/>
  <c r="F670" i="1" s="1"/>
  <c r="H671" i="1"/>
  <c r="F671" i="1" s="1"/>
  <c r="H672" i="1"/>
  <c r="F672" i="1" s="1"/>
  <c r="H673" i="1"/>
  <c r="F673" i="1" s="1"/>
  <c r="H674" i="1"/>
  <c r="F674" i="1" s="1"/>
  <c r="H675" i="1"/>
  <c r="F675" i="1" s="1"/>
  <c r="H676" i="1"/>
  <c r="F676" i="1" s="1"/>
  <c r="H677" i="1"/>
  <c r="F677" i="1" s="1"/>
  <c r="H678" i="1"/>
  <c r="F678" i="1" s="1"/>
  <c r="H679" i="1"/>
  <c r="F679" i="1" s="1"/>
  <c r="H680" i="1"/>
  <c r="F680" i="1" s="1"/>
  <c r="H681" i="1"/>
  <c r="F681" i="1" s="1"/>
  <c r="H682" i="1"/>
  <c r="F682" i="1" s="1"/>
  <c r="H683" i="1"/>
  <c r="F683" i="1" s="1"/>
  <c r="H684" i="1"/>
  <c r="F684" i="1" s="1"/>
  <c r="H685" i="1"/>
  <c r="F685" i="1" s="1"/>
  <c r="H686" i="1"/>
  <c r="F686" i="1" s="1"/>
  <c r="H687" i="1"/>
  <c r="F687" i="1" s="1"/>
  <c r="H688" i="1"/>
  <c r="F688" i="1" s="1"/>
  <c r="H689" i="1"/>
  <c r="F689" i="1" s="1"/>
  <c r="H690" i="1"/>
  <c r="F690" i="1" s="1"/>
  <c r="H691" i="1"/>
  <c r="F691" i="1" s="1"/>
  <c r="H692" i="1"/>
  <c r="F692" i="1" s="1"/>
  <c r="H693" i="1"/>
  <c r="F693" i="1" s="1"/>
  <c r="H694" i="1"/>
  <c r="F694" i="1" s="1"/>
  <c r="H695" i="1"/>
  <c r="F695" i="1" s="1"/>
  <c r="H696" i="1"/>
  <c r="F696" i="1" s="1"/>
  <c r="H697" i="1"/>
  <c r="F697" i="1" s="1"/>
  <c r="H698" i="1"/>
  <c r="F698" i="1" s="1"/>
  <c r="H699" i="1"/>
  <c r="F699" i="1" s="1"/>
  <c r="H700" i="1"/>
  <c r="F700" i="1" s="1"/>
  <c r="H701" i="1"/>
  <c r="F701" i="1" s="1"/>
  <c r="H702" i="1"/>
  <c r="F702" i="1" s="1"/>
  <c r="H703" i="1"/>
  <c r="F703" i="1" s="1"/>
  <c r="H704" i="1"/>
  <c r="F704" i="1" s="1"/>
  <c r="H705" i="1"/>
  <c r="F705" i="1" s="1"/>
  <c r="H706" i="1"/>
  <c r="F706" i="1" s="1"/>
  <c r="H707" i="1"/>
  <c r="F707" i="1" s="1"/>
  <c r="H708" i="1"/>
  <c r="F708" i="1" s="1"/>
  <c r="H709" i="1"/>
  <c r="F709" i="1" s="1"/>
  <c r="H710" i="1"/>
  <c r="F710" i="1" s="1"/>
  <c r="H711" i="1"/>
  <c r="F711" i="1" s="1"/>
  <c r="H712" i="1"/>
  <c r="F712" i="1" s="1"/>
  <c r="H713" i="1"/>
  <c r="F713" i="1" s="1"/>
  <c r="H714" i="1"/>
  <c r="F714" i="1" s="1"/>
  <c r="H715" i="1"/>
  <c r="F715" i="1" s="1"/>
  <c r="H716" i="1"/>
  <c r="F716" i="1" s="1"/>
  <c r="H717" i="1"/>
  <c r="F717" i="1" s="1"/>
  <c r="H718" i="1"/>
  <c r="F718" i="1" s="1"/>
  <c r="H719" i="1"/>
  <c r="F719" i="1" s="1"/>
  <c r="H720" i="1"/>
  <c r="F720" i="1" s="1"/>
  <c r="H721" i="1"/>
  <c r="F721" i="1" s="1"/>
  <c r="H722" i="1"/>
  <c r="F722" i="1" s="1"/>
  <c r="H723" i="1"/>
  <c r="F723" i="1" s="1"/>
  <c r="H724" i="1"/>
  <c r="F724" i="1" s="1"/>
  <c r="H725" i="1"/>
  <c r="F725" i="1" s="1"/>
  <c r="H726" i="1"/>
  <c r="F726" i="1" s="1"/>
  <c r="H727" i="1"/>
  <c r="F727" i="1" s="1"/>
  <c r="H728" i="1"/>
  <c r="F728" i="1" s="1"/>
  <c r="H729" i="1"/>
  <c r="F729" i="1" s="1"/>
  <c r="H730" i="1"/>
  <c r="F730" i="1" s="1"/>
  <c r="H731" i="1"/>
  <c r="F731" i="1" s="1"/>
  <c r="H732" i="1"/>
  <c r="F732" i="1" s="1"/>
  <c r="H733" i="1"/>
  <c r="F733" i="1" s="1"/>
  <c r="H734" i="1"/>
  <c r="F734" i="1" s="1"/>
  <c r="H735" i="1"/>
  <c r="F735" i="1" s="1"/>
  <c r="H736" i="1"/>
  <c r="F736" i="1" s="1"/>
  <c r="H737" i="1"/>
  <c r="F737" i="1" s="1"/>
  <c r="H738" i="1"/>
  <c r="F738" i="1" s="1"/>
  <c r="H739" i="1"/>
  <c r="F739" i="1" s="1"/>
  <c r="H740" i="1"/>
  <c r="F740" i="1" s="1"/>
  <c r="H741" i="1"/>
  <c r="F741" i="1" s="1"/>
  <c r="H742" i="1"/>
  <c r="F742" i="1" s="1"/>
  <c r="H743" i="1"/>
  <c r="F743" i="1" s="1"/>
  <c r="H744" i="1"/>
  <c r="F744" i="1" s="1"/>
  <c r="H745" i="1"/>
  <c r="F745" i="1" s="1"/>
  <c r="H746" i="1"/>
  <c r="F746" i="1" s="1"/>
  <c r="H747" i="1"/>
  <c r="F747" i="1" s="1"/>
  <c r="H748" i="1"/>
  <c r="F748" i="1" s="1"/>
  <c r="H749" i="1"/>
  <c r="F749" i="1" s="1"/>
  <c r="H750" i="1"/>
  <c r="F750" i="1" s="1"/>
  <c r="H751" i="1"/>
  <c r="F751" i="1" s="1"/>
  <c r="H752" i="1"/>
  <c r="F752" i="1" s="1"/>
  <c r="H753" i="1"/>
  <c r="F753" i="1" s="1"/>
  <c r="H754" i="1"/>
  <c r="F754" i="1" s="1"/>
  <c r="H755" i="1"/>
  <c r="F755" i="1" s="1"/>
  <c r="H756" i="1"/>
  <c r="F756" i="1" s="1"/>
  <c r="H757" i="1"/>
  <c r="F757" i="1" s="1"/>
  <c r="H758" i="1"/>
  <c r="F758" i="1" s="1"/>
  <c r="H759" i="1"/>
  <c r="F759" i="1" s="1"/>
  <c r="H760" i="1"/>
  <c r="F760" i="1" s="1"/>
  <c r="H761" i="1"/>
  <c r="F761" i="1" s="1"/>
  <c r="H762" i="1"/>
  <c r="F762" i="1" s="1"/>
  <c r="H763" i="1"/>
  <c r="F763" i="1" s="1"/>
  <c r="H764" i="1"/>
  <c r="F764" i="1" s="1"/>
  <c r="H765" i="1"/>
  <c r="F765" i="1" s="1"/>
  <c r="H766" i="1"/>
  <c r="F766" i="1" s="1"/>
  <c r="H767" i="1"/>
  <c r="F767" i="1" s="1"/>
  <c r="H768" i="1"/>
  <c r="F768" i="1" s="1"/>
  <c r="H769" i="1"/>
  <c r="F769" i="1" s="1"/>
  <c r="H770" i="1"/>
  <c r="F770" i="1" s="1"/>
  <c r="H771" i="1"/>
  <c r="F771" i="1" s="1"/>
  <c r="H772" i="1"/>
  <c r="F772" i="1" s="1"/>
  <c r="H773" i="1"/>
  <c r="F773" i="1" s="1"/>
  <c r="H774" i="1"/>
  <c r="F774" i="1" s="1"/>
  <c r="H775" i="1"/>
  <c r="F775" i="1" s="1"/>
  <c r="H776" i="1"/>
  <c r="F776" i="1" s="1"/>
  <c r="H777" i="1"/>
  <c r="F777" i="1" s="1"/>
  <c r="H778" i="1"/>
  <c r="F778" i="1" s="1"/>
  <c r="H779" i="1"/>
  <c r="F779" i="1" s="1"/>
  <c r="H780" i="1"/>
  <c r="F780" i="1" s="1"/>
  <c r="H781" i="1"/>
  <c r="F781" i="1" s="1"/>
  <c r="H782" i="1"/>
  <c r="F782" i="1" s="1"/>
  <c r="H783" i="1"/>
  <c r="F783" i="1" s="1"/>
  <c r="H784" i="1"/>
  <c r="F784" i="1" s="1"/>
  <c r="H785" i="1"/>
  <c r="F785" i="1" s="1"/>
  <c r="H786" i="1"/>
  <c r="F786" i="1" s="1"/>
  <c r="H787" i="1"/>
  <c r="F787" i="1" s="1"/>
  <c r="H788" i="1"/>
  <c r="F788" i="1" s="1"/>
  <c r="H789" i="1"/>
  <c r="F789" i="1" s="1"/>
  <c r="H790" i="1"/>
  <c r="F790" i="1" s="1"/>
  <c r="H791" i="1"/>
  <c r="F791" i="1" s="1"/>
  <c r="H792" i="1"/>
  <c r="F792" i="1" s="1"/>
  <c r="H793" i="1"/>
  <c r="F793" i="1" s="1"/>
  <c r="H794" i="1"/>
  <c r="F794" i="1" s="1"/>
  <c r="H795" i="1"/>
  <c r="F795" i="1" s="1"/>
  <c r="H796" i="1"/>
  <c r="F796" i="1" s="1"/>
  <c r="H797" i="1"/>
  <c r="F797" i="1" s="1"/>
  <c r="H798" i="1"/>
  <c r="F798" i="1" s="1"/>
  <c r="H799" i="1"/>
  <c r="F799" i="1" s="1"/>
  <c r="H800" i="1"/>
  <c r="F800" i="1" s="1"/>
  <c r="H801" i="1"/>
  <c r="F801" i="1" s="1"/>
  <c r="H802" i="1"/>
  <c r="F802" i="1" s="1"/>
  <c r="H803" i="1"/>
  <c r="F803" i="1" s="1"/>
  <c r="H804" i="1"/>
  <c r="F804" i="1" s="1"/>
  <c r="H805" i="1"/>
  <c r="F805" i="1" s="1"/>
  <c r="H806" i="1"/>
  <c r="F806" i="1" s="1"/>
  <c r="H807" i="1"/>
  <c r="F807" i="1" s="1"/>
  <c r="H808" i="1"/>
  <c r="F808" i="1" s="1"/>
  <c r="H809" i="1"/>
  <c r="F809" i="1" s="1"/>
  <c r="H810" i="1"/>
  <c r="F810" i="1" s="1"/>
  <c r="H811" i="1"/>
  <c r="F811" i="1" s="1"/>
  <c r="H812" i="1"/>
  <c r="F812" i="1" s="1"/>
  <c r="H813" i="1"/>
  <c r="F813" i="1" s="1"/>
  <c r="H814" i="1"/>
  <c r="F814" i="1" s="1"/>
  <c r="H815" i="1"/>
  <c r="F815" i="1" s="1"/>
  <c r="H816" i="1"/>
  <c r="F816" i="1" s="1"/>
  <c r="H817" i="1"/>
  <c r="F817" i="1" s="1"/>
  <c r="H818" i="1"/>
  <c r="F818" i="1" s="1"/>
  <c r="H819" i="1"/>
  <c r="F819" i="1" s="1"/>
  <c r="H820" i="1"/>
  <c r="F820" i="1" s="1"/>
  <c r="H821" i="1"/>
  <c r="F821" i="1" s="1"/>
  <c r="H822" i="1"/>
  <c r="F822" i="1" s="1"/>
  <c r="H823" i="1"/>
  <c r="F823" i="1" s="1"/>
  <c r="H824" i="1"/>
  <c r="F824" i="1" s="1"/>
  <c r="H825" i="1"/>
  <c r="F825" i="1" s="1"/>
  <c r="H826" i="1"/>
  <c r="F826" i="1" s="1"/>
  <c r="H827" i="1"/>
  <c r="F827" i="1" s="1"/>
  <c r="H828" i="1"/>
  <c r="F828" i="1" s="1"/>
  <c r="H829" i="1"/>
  <c r="F829" i="1" s="1"/>
  <c r="H830" i="1"/>
  <c r="F830" i="1" s="1"/>
  <c r="H831" i="1"/>
  <c r="F831" i="1" s="1"/>
  <c r="H832" i="1"/>
  <c r="F832" i="1" s="1"/>
  <c r="H833" i="1"/>
  <c r="F833" i="1" s="1"/>
  <c r="H834" i="1"/>
  <c r="F834" i="1" s="1"/>
  <c r="H835" i="1"/>
  <c r="F835" i="1" s="1"/>
  <c r="H836" i="1"/>
  <c r="F836" i="1" s="1"/>
  <c r="H837" i="1"/>
  <c r="F837" i="1" s="1"/>
  <c r="H838" i="1"/>
  <c r="F838" i="1" s="1"/>
  <c r="H839" i="1"/>
  <c r="F839" i="1" s="1"/>
  <c r="H840" i="1"/>
  <c r="F840" i="1" s="1"/>
  <c r="H841" i="1"/>
  <c r="F841" i="1" s="1"/>
  <c r="H842" i="1"/>
  <c r="F842" i="1" s="1"/>
  <c r="H843" i="1"/>
  <c r="F843" i="1" s="1"/>
  <c r="H844" i="1"/>
  <c r="F844" i="1" s="1"/>
  <c r="H845" i="1"/>
  <c r="F845" i="1" s="1"/>
  <c r="H846" i="1"/>
  <c r="F846" i="1" s="1"/>
  <c r="H847" i="1"/>
  <c r="F847" i="1" s="1"/>
  <c r="H848" i="1"/>
  <c r="F848" i="1" s="1"/>
  <c r="H849" i="1"/>
  <c r="F849" i="1" s="1"/>
  <c r="H850" i="1"/>
  <c r="F850" i="1" s="1"/>
  <c r="H851" i="1"/>
  <c r="F851" i="1" s="1"/>
  <c r="H852" i="1"/>
  <c r="F852" i="1" s="1"/>
  <c r="H853" i="1"/>
  <c r="F853" i="1" s="1"/>
  <c r="H854" i="1"/>
  <c r="F854" i="1" s="1"/>
  <c r="H855" i="1"/>
  <c r="F855" i="1" s="1"/>
  <c r="H856" i="1"/>
  <c r="F856" i="1" s="1"/>
  <c r="H857" i="1"/>
  <c r="F857" i="1" s="1"/>
  <c r="H858" i="1"/>
  <c r="F858" i="1" s="1"/>
  <c r="H859" i="1"/>
  <c r="F859" i="1" s="1"/>
  <c r="H860" i="1"/>
  <c r="F860" i="1" s="1"/>
  <c r="H861" i="1"/>
  <c r="F861" i="1" s="1"/>
  <c r="H862" i="1"/>
  <c r="F862" i="1" s="1"/>
  <c r="H863" i="1"/>
  <c r="F863" i="1" s="1"/>
  <c r="H864" i="1"/>
  <c r="F864" i="1" s="1"/>
  <c r="H865" i="1"/>
  <c r="F865" i="1" s="1"/>
  <c r="H866" i="1"/>
  <c r="F866" i="1" s="1"/>
  <c r="H867" i="1"/>
  <c r="F867" i="1" s="1"/>
  <c r="H868" i="1"/>
  <c r="F868" i="1" s="1"/>
  <c r="H869" i="1"/>
  <c r="F869" i="1" s="1"/>
  <c r="H870" i="1"/>
  <c r="F870" i="1" s="1"/>
  <c r="H871" i="1"/>
  <c r="F871" i="1" s="1"/>
  <c r="H872" i="1"/>
  <c r="F872" i="1" s="1"/>
  <c r="H873" i="1"/>
  <c r="F873" i="1" s="1"/>
  <c r="H874" i="1"/>
  <c r="F874" i="1" s="1"/>
  <c r="H875" i="1"/>
  <c r="F875" i="1" s="1"/>
  <c r="H876" i="1"/>
  <c r="F876" i="1" s="1"/>
  <c r="H877" i="1"/>
  <c r="F877" i="1" s="1"/>
  <c r="H878" i="1"/>
  <c r="F878" i="1" s="1"/>
  <c r="H879" i="1"/>
  <c r="F879" i="1" s="1"/>
  <c r="H880" i="1"/>
  <c r="F880" i="1" s="1"/>
  <c r="H881" i="1"/>
  <c r="F881" i="1" s="1"/>
  <c r="H882" i="1"/>
  <c r="F882" i="1" s="1"/>
  <c r="H883" i="1"/>
  <c r="F883" i="1" s="1"/>
  <c r="H884" i="1"/>
  <c r="F884" i="1" s="1"/>
  <c r="H885" i="1"/>
  <c r="F885" i="1" s="1"/>
  <c r="H886" i="1"/>
  <c r="F886" i="1" s="1"/>
  <c r="H887" i="1"/>
  <c r="F887" i="1" s="1"/>
  <c r="H888" i="1"/>
  <c r="F888" i="1" s="1"/>
  <c r="H889" i="1"/>
  <c r="F889" i="1" s="1"/>
  <c r="H890" i="1"/>
  <c r="F890" i="1" s="1"/>
  <c r="H891" i="1"/>
  <c r="F891" i="1" s="1"/>
  <c r="H892" i="1"/>
  <c r="F892" i="1" s="1"/>
  <c r="H893" i="1"/>
  <c r="F893" i="1" s="1"/>
  <c r="H894" i="1"/>
  <c r="F894" i="1" s="1"/>
  <c r="H895" i="1"/>
  <c r="F895" i="1" s="1"/>
  <c r="H896" i="1"/>
  <c r="F896" i="1" s="1"/>
  <c r="H897" i="1"/>
  <c r="F897" i="1" s="1"/>
  <c r="H898" i="1"/>
  <c r="F898" i="1" s="1"/>
  <c r="H899" i="1"/>
  <c r="F899" i="1" s="1"/>
  <c r="H900" i="1"/>
  <c r="F900" i="1" s="1"/>
  <c r="H901" i="1"/>
  <c r="F901" i="1" s="1"/>
  <c r="H902" i="1"/>
  <c r="F902" i="1" s="1"/>
  <c r="H903" i="1"/>
  <c r="F903" i="1" s="1"/>
  <c r="H904" i="1"/>
  <c r="F904" i="1" s="1"/>
  <c r="H905" i="1"/>
  <c r="F905" i="1" s="1"/>
  <c r="H906" i="1"/>
  <c r="F906" i="1" s="1"/>
  <c r="H907" i="1"/>
  <c r="F907" i="1" s="1"/>
  <c r="H908" i="1"/>
  <c r="F908" i="1" s="1"/>
  <c r="H909" i="1"/>
  <c r="F909" i="1" s="1"/>
  <c r="H910" i="1"/>
  <c r="F910" i="1" s="1"/>
  <c r="H911" i="1"/>
  <c r="F911" i="1" s="1"/>
  <c r="H912" i="1"/>
  <c r="F912" i="1" s="1"/>
  <c r="H913" i="1"/>
  <c r="F913" i="1" s="1"/>
  <c r="H914" i="1"/>
  <c r="F914" i="1" s="1"/>
  <c r="H915" i="1"/>
  <c r="F915" i="1" s="1"/>
  <c r="H916" i="1"/>
  <c r="F916" i="1" s="1"/>
  <c r="H917" i="1"/>
  <c r="F917" i="1" s="1"/>
  <c r="H918" i="1"/>
  <c r="F918" i="1" s="1"/>
  <c r="H919" i="1"/>
  <c r="F919" i="1" s="1"/>
  <c r="H920" i="1"/>
  <c r="F920" i="1" s="1"/>
  <c r="H921" i="1"/>
  <c r="F921" i="1" s="1"/>
  <c r="H922" i="1"/>
  <c r="F922" i="1" s="1"/>
  <c r="H923" i="1"/>
  <c r="F923" i="1" s="1"/>
  <c r="H924" i="1"/>
  <c r="F924" i="1" s="1"/>
  <c r="H925" i="1"/>
  <c r="F925" i="1" s="1"/>
  <c r="H926" i="1"/>
  <c r="F926" i="1" s="1"/>
  <c r="H927" i="1"/>
  <c r="F927" i="1" s="1"/>
  <c r="H928" i="1"/>
  <c r="F928" i="1" s="1"/>
  <c r="H929" i="1"/>
  <c r="F929" i="1" s="1"/>
  <c r="H930" i="1"/>
  <c r="F930" i="1" s="1"/>
  <c r="H931" i="1"/>
  <c r="F931" i="1" s="1"/>
  <c r="H932" i="1"/>
  <c r="F932" i="1" s="1"/>
  <c r="H933" i="1"/>
  <c r="F933" i="1" s="1"/>
  <c r="H934" i="1"/>
  <c r="F934" i="1" s="1"/>
  <c r="H935" i="1"/>
  <c r="F935" i="1" s="1"/>
  <c r="H936" i="1"/>
  <c r="F936" i="1" s="1"/>
  <c r="H937" i="1"/>
  <c r="F937" i="1" s="1"/>
  <c r="H938" i="1"/>
  <c r="F938" i="1" s="1"/>
  <c r="H939" i="1"/>
  <c r="F939" i="1" s="1"/>
  <c r="H940" i="1"/>
  <c r="F940" i="1" s="1"/>
  <c r="H941" i="1"/>
  <c r="F941" i="1" s="1"/>
  <c r="H942" i="1"/>
  <c r="F942" i="1" s="1"/>
  <c r="H943" i="1"/>
  <c r="F943" i="1" s="1"/>
  <c r="H944" i="1"/>
  <c r="F944" i="1" s="1"/>
  <c r="H945" i="1"/>
  <c r="F945" i="1" s="1"/>
  <c r="H946" i="1"/>
  <c r="F946" i="1" s="1"/>
  <c r="H947" i="1"/>
  <c r="F947" i="1" s="1"/>
  <c r="H948" i="1"/>
  <c r="F948" i="1" s="1"/>
  <c r="H949" i="1"/>
  <c r="F949" i="1" s="1"/>
  <c r="H950" i="1"/>
  <c r="F950" i="1" s="1"/>
  <c r="H951" i="1"/>
  <c r="F951" i="1" s="1"/>
  <c r="H952" i="1"/>
  <c r="F952" i="1" s="1"/>
  <c r="H953" i="1"/>
  <c r="F953" i="1" s="1"/>
  <c r="H954" i="1"/>
  <c r="F95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<sst xmlns="http://schemas.openxmlformats.org/spreadsheetml/2006/main" count="962" uniqueCount="962">
  <si>
    <t>CODIGO</t>
  </si>
  <si>
    <t>DESCRICAO</t>
  </si>
  <si>
    <t>PESO UND</t>
  </si>
  <si>
    <t xml:space="preserve">KIT A-FRAME 1 (51,77M²) R                                                                                               </t>
  </si>
  <si>
    <t xml:space="preserve">KIT A-FRAME 1 (51,77M²) STAIN IMPREGNANTE                                                                               </t>
  </si>
  <si>
    <t xml:space="preserve">KIT A-FRAME 1 (51,77M²) TELHA VERDE R                                                                                   </t>
  </si>
  <si>
    <t xml:space="preserve">KIT A-FRAME 1 (51,77M²) TELHA VERMELHA R                                                                                </t>
  </si>
  <si>
    <t xml:space="preserve">KIT A-FRAME 10 (46,85M²)                                                                                                </t>
  </si>
  <si>
    <t xml:space="preserve">KIT A-FRAME 10 (46,85M²) STAIN IMPREGNANTE                                                                              </t>
  </si>
  <si>
    <t xml:space="preserve">KIT A-FRAME 10 (46,85M²) TELHA VERDE MT R                                                                               </t>
  </si>
  <si>
    <t xml:space="preserve">KIT A-FRAME 10 (46,85M²) TELHA VERMELHA MT R                                                                            </t>
  </si>
  <si>
    <t xml:space="preserve">KIT A-FRAME 2 (28,98M²)  STAIN IMPREGNANTE                                                                              </t>
  </si>
  <si>
    <t xml:space="preserve">KIT A-FRAME 2 (28,98M²)  TELHA VERDE R                                                                                  </t>
  </si>
  <si>
    <t xml:space="preserve">KIT A-FRAME 2 (28,98M²) R                                                                                               </t>
  </si>
  <si>
    <t xml:space="preserve">KIT A-FRAME 2 (28,98M²) TELHA VERMELHA R                                                                                </t>
  </si>
  <si>
    <t xml:space="preserve">KIT A-FRAME 3 (142,94M²)                                                                                                </t>
  </si>
  <si>
    <t xml:space="preserve">KIT A-FRAME 3 (142,94M²) STAIN IMPREGNANTE                                                                              </t>
  </si>
  <si>
    <t xml:space="preserve">KIT A-FRAME 3 (142,94M²) TELHA VERDE R                                                                                  </t>
  </si>
  <si>
    <t xml:space="preserve">KIT A-FRAME 3 (142,94M²) TELHA VERMELHA R                                                                               </t>
  </si>
  <si>
    <t xml:space="preserve">KIT A-FRAME 4 61,52M² TELHA VERDE R                                                                                     </t>
  </si>
  <si>
    <t xml:space="preserve">KIT A-FRAME 4 61,52M² TELHA VERMELHA R                                                                                  </t>
  </si>
  <si>
    <t xml:space="preserve">KIT A-FRAME 5 37,10M² STAIN IMPREGNANTE                                                                                 </t>
  </si>
  <si>
    <t xml:space="preserve">KIT A-FRAME 5 37,10M² TELHA VERDE MT R                                                                                  </t>
  </si>
  <si>
    <t xml:space="preserve">KIT A-FRAME 5 37,10M² TELHA VERMELHA MT R                                                                               </t>
  </si>
  <si>
    <t xml:space="preserve">KIT A-FRAME 6 (61,98M²)                                                                                                 </t>
  </si>
  <si>
    <t xml:space="preserve">KIT A-FRAME 6 (61,98M²) STAIN IMPREGNANTE                                                                               </t>
  </si>
  <si>
    <t xml:space="preserve">KIT A-FRAME 6 (61,98M²) TELHA VERDE R                                                                                   </t>
  </si>
  <si>
    <t xml:space="preserve">KIT A-FRAME 6 (61,98M²) TELHA VERMELHA R                                                                                </t>
  </si>
  <si>
    <t xml:space="preserve">KIT A-FRAME 7 (53M²)                                                                                                    </t>
  </si>
  <si>
    <t xml:space="preserve">KIT A-FRAME 7 (53M²) ASSOALHO                                                                                           </t>
  </si>
  <si>
    <t xml:space="preserve">KIT A-FRAME 7 (53M²) STAIN IMPREGNANTE                                                                                  </t>
  </si>
  <si>
    <t xml:space="preserve">KIT A-FRAME 7 (53M²) TELHA VERDE R                                                                                      </t>
  </si>
  <si>
    <t xml:space="preserve">KIT A-FRAME 7 (53M²) TELHA VERMELHA R                                                                                   </t>
  </si>
  <si>
    <t xml:space="preserve">KIT A-FRAME 8 (100,00M²) R                                                                                              </t>
  </si>
  <si>
    <t xml:space="preserve">KIT A-FRAME 8 (100,00M²) STAIN IMPREGNANTE                                                                              </t>
  </si>
  <si>
    <t xml:space="preserve">KIT A-FRAME 8 (100,00M²) TELHA PRETA MT R                                                                               </t>
  </si>
  <si>
    <t xml:space="preserve">KIT A-FRAME 8 (100,00M²) TELHA VERDE MT R                                                                               </t>
  </si>
  <si>
    <t xml:space="preserve">KIT A-FRAME 8 (100,00M²) TELHA VERMELHA MT R                                                                            </t>
  </si>
  <si>
    <t xml:space="preserve">KIT A-FRAME 9 (71,70M²)  R                                                                                              </t>
  </si>
  <si>
    <t xml:space="preserve">KIT A-FRAME 9 (71,70M²) STAIN IMPREGNANTE                                                                               </t>
  </si>
  <si>
    <t xml:space="preserve">KIT A-FRAME 9 (71,70M²) TELHA VERDE  MT R                                                                               </t>
  </si>
  <si>
    <t xml:space="preserve">KIT A-FRAME 9 (71,70M²) TELHA VERMELHA  MT R                                                                            </t>
  </si>
  <si>
    <t xml:space="preserve">KIT BALNEARIO PICARRAS (65,10M²) MODFICADO                                                                              </t>
  </si>
  <si>
    <t xml:space="preserve">KIT BALNEARIO PICARRAS 66,65M²  PAREDE DUPLA                                                                            </t>
  </si>
  <si>
    <t xml:space="preserve">KIT BALNEARIO PICARRAS 66,65M²  STAIN IMPREG                                                                            </t>
  </si>
  <si>
    <t xml:space="preserve">KIT BALNEARIO PICARRAS 66,65M²  TELHA VERDE                                                                             </t>
  </si>
  <si>
    <t xml:space="preserve">KIT BALNEARIO PICARRAS 66,65M² TELHA VERMELHA                                                                           </t>
  </si>
  <si>
    <t xml:space="preserve">KIT BANHEIRO COM PLACA CIMENTICIA                                                                                       </t>
  </si>
  <si>
    <t xml:space="preserve">KIT CABINE SALVA VIDAS (17,63M²)                                                                                        </t>
  </si>
  <si>
    <t xml:space="preserve">KIT CABINE SALVA VIDAS (17,63M²) STAIN IMPREGNANTE                                                                      </t>
  </si>
  <si>
    <t xml:space="preserve">KIT CABINE SALVA VIDAS (17,63M²) TELHA VERDE                                                                            </t>
  </si>
  <si>
    <t xml:space="preserve">KIT CABINE SALVA VIDAS (17,63M²) TELHA VERMELHA                                                                         </t>
  </si>
  <si>
    <t xml:space="preserve">KIT CABINE SALVA VIDAS (17,84M²) PAREDE DUPLA                                                                           </t>
  </si>
  <si>
    <t xml:space="preserve">KIT CAMPINA GRANDE (66,45M²)                                                                                            </t>
  </si>
  <si>
    <t xml:space="preserve">KIT CAMPINA GRANDE (66,45M²) PAREDE DUPLA                                                                               </t>
  </si>
  <si>
    <t xml:space="preserve">KIT CAMPINA GRANDE (66,45M²) STAIN IMPREG                                                                               </t>
  </si>
  <si>
    <t xml:space="preserve">KIT CAMPINA GRANDE (66,45M²) TELHA VERDE COM MANTA                                                                      </t>
  </si>
  <si>
    <t xml:space="preserve">KIT CAMPINA GRANDE (66,45M²) TELHA VERMELHA COM MANTA                                                                   </t>
  </si>
  <si>
    <t xml:space="preserve">KIT CANELINHA                                                                                                           </t>
  </si>
  <si>
    <t xml:space="preserve">KIT CANELINHA PAREDE DUPLA                                                                                              </t>
  </si>
  <si>
    <t xml:space="preserve">KIT CANELINHA STAIN IMPREGNANTE                                                                                         </t>
  </si>
  <si>
    <t xml:space="preserve">KIT CANELINHA TELHA VERDE                                                                                               </t>
  </si>
  <si>
    <t xml:space="preserve">KIT CANELINHA TELHA VERMELHA                                                                                            </t>
  </si>
  <si>
    <t xml:space="preserve">KIT CASA DE BONECA 2 (9,75M²)                                                                                           </t>
  </si>
  <si>
    <t xml:space="preserve">KIT CASA DE BONECA 2 (9,75M²) PAREDE DUPLA                                                                              </t>
  </si>
  <si>
    <t xml:space="preserve">KIT CASA DE BONECA 2 (9,75M²) STAIN IMPREGNANTE                                                                         </t>
  </si>
  <si>
    <t xml:space="preserve">KIT CASA DE BONECA 2 (9,75M²) TELHA VERDE R                                                                             </t>
  </si>
  <si>
    <t xml:space="preserve">KIT CASA DE BONECA 2 (9,75M²)TELHA VERMELHA R                                                                           </t>
  </si>
  <si>
    <t xml:space="preserve">KIT CASA DE BONECA 9M² PAREDE DUPLA                                                                                     </t>
  </si>
  <si>
    <t xml:space="preserve">KIT CASA DE BONECA 9M² STAIN IMPREGNANTE                                                                                </t>
  </si>
  <si>
    <t xml:space="preserve">KIT CASA DE BONECA 9M² TELHA VERDE R                                                                                    </t>
  </si>
  <si>
    <t xml:space="preserve">KIT CASA DE BONECA 9M² TELHA VERMELHA R                                                                                 </t>
  </si>
  <si>
    <t xml:space="preserve">KIT CERCA DE 10MT                                                                                                       </t>
  </si>
  <si>
    <t xml:space="preserve">KIT CERCA DE 40 MT                                                                                                      </t>
  </si>
  <si>
    <t xml:space="preserve">KIT CHALE ESCANDINAVO 1.1 (32,50M²)  R                                                                                  </t>
  </si>
  <si>
    <t xml:space="preserve">KIT CHALE ESCANDINAVO 1.1 (32,50M²) ASSOALHO                                                                            </t>
  </si>
  <si>
    <t xml:space="preserve">KIT CHALE ESCANDINAVO 1.1 (32,50M²) PAREDE DUPLA                                                                        </t>
  </si>
  <si>
    <t xml:space="preserve">KIT CHALE ESCANDINAVO 1.1 (32,50M²) STAIN IMPREGNANTE                                                                   </t>
  </si>
  <si>
    <t xml:space="preserve">KIT CHALE ESCANDINAVO 1.1 (32,50M²) TELHA VERDE MT                                                                      </t>
  </si>
  <si>
    <t xml:space="preserve">KIT CHALE ESCANDINAVO 1.1 (32,50M²) TELHA VERMELHA MT                                                                   </t>
  </si>
  <si>
    <t xml:space="preserve">KIT CONTAINER MODULAR 15M² STAIN IMPREGNANTE                                                                            </t>
  </si>
  <si>
    <t xml:space="preserve">KIT CONTAINER MODULAR 15M² TELHA PRETA                                                                                  </t>
  </si>
  <si>
    <t xml:space="preserve">KIT CONTAINER MODULAR 15M² TELHA VERDE                                                                                  </t>
  </si>
  <si>
    <t xml:space="preserve">KIT CONTAINER MODULAR 15M² TELHA VERMELHA                                                                               </t>
  </si>
  <si>
    <t xml:space="preserve">KIT CRICIUMA I (85M²) PAREDE DUPLA                                                                                      </t>
  </si>
  <si>
    <t xml:space="preserve">KIT CRICIUMA I (85M²) STAIN IMPREGNANTE                                                                                 </t>
  </si>
  <si>
    <t xml:space="preserve">KIT CRICIUMA I (85M²) TELHA VERDE                                                                                       </t>
  </si>
  <si>
    <t xml:space="preserve">KIT CRICIUMA I (85M²) TELHA VERMELHA                                                                                    </t>
  </si>
  <si>
    <t xml:space="preserve">KIT CUIABA (48M²) PAREDE DUPLA                                                                                          </t>
  </si>
  <si>
    <t xml:space="preserve">KIT CURITIBA (165M²) STAIN IMPREGNANTE                                                                                  </t>
  </si>
  <si>
    <t xml:space="preserve">KIT CURITIBA (165M²) TELHA VERDE                                                                                        </t>
  </si>
  <si>
    <t xml:space="preserve">KIT CURITIBA (165M²) TELHA VERMELHA                                                                                     </t>
  </si>
  <si>
    <t xml:space="preserve">KIT DELFIN MOREIRA (151,88M²)                                                                                           </t>
  </si>
  <si>
    <t xml:space="preserve">KIT DELFIN MOREIRA (151,88M²) ASSOALHO                                                                                  </t>
  </si>
  <si>
    <t xml:space="preserve">KIT DELFIN MOREIRA (151,88M²) FORRO EXTERNO                                                                             </t>
  </si>
  <si>
    <t xml:space="preserve">KIT DELFIN MOREIRA (151,88M²) PAREDE DUPLA                                                                              </t>
  </si>
  <si>
    <t xml:space="preserve">KIT DELFIN MOREIRA (151,88M²) STAIN IMPREGNANTE                                                                         </t>
  </si>
  <si>
    <t xml:space="preserve">KIT DELFIN MOREIRA (151,88M²) TELHA VERDE                                                                               </t>
  </si>
  <si>
    <t xml:space="preserve">KIT DELFIN MOREIRA (151,88M²) TELHA VERMELHA                                                                            </t>
  </si>
  <si>
    <t xml:space="preserve">KIT DIVINOLANDIA (112,22M²)                                                                                             </t>
  </si>
  <si>
    <t xml:space="preserve">KIT DIVINOLANDIA (112,22M²) PAREDE DUPLA                                                                                </t>
  </si>
  <si>
    <t xml:space="preserve">KIT DIVINOLANDIA (112,22M²) STAIN IMPREGNANTE                                                                           </t>
  </si>
  <si>
    <t xml:space="preserve">KIT DIVINOLANDIA (112,22M²) TELHA VERDE                                                                                 </t>
  </si>
  <si>
    <t xml:space="preserve">KIT DIVINOLANDIA (112,22M²) TELHA VERMELHA                                                                              </t>
  </si>
  <si>
    <t xml:space="preserve">KIT DIVINOPOLIS(86,97 M²) PAREDE DUPLA                                                                                  </t>
  </si>
  <si>
    <t xml:space="preserve">KIT FLORIPA III (97,75M²)                                                                                               </t>
  </si>
  <si>
    <t xml:space="preserve">KIT FLORIPA III (97,75M²) PAREDE DUPLA                                                                                  </t>
  </si>
  <si>
    <t xml:space="preserve">KIT FLORIPA III (97,75M²) STAIN IMPREGNANTE                                                                             </t>
  </si>
  <si>
    <t xml:space="preserve">KIT FLORIPA III (97,75M²) TELHA VERDE                                                                                   </t>
  </si>
  <si>
    <t xml:space="preserve">KIT FLORIPA III (97,75M²) TELHA VERMELHA                                                                                </t>
  </si>
  <si>
    <t xml:space="preserve">KIT GALPAO CELEIRO (20,00M²)                                                                                            </t>
  </si>
  <si>
    <t xml:space="preserve">KIT GALPAO CELEIRO (20,00M²) FORRO EXTERNO                                                                              </t>
  </si>
  <si>
    <t xml:space="preserve">KIT GALPAO CELEIRO (20,00M²) PAREDE DUPLA                                                                               </t>
  </si>
  <si>
    <t xml:space="preserve">KIT GALPAO CELEIRO (20,00M²) STAIN IMPREGNANTE                                                                          </t>
  </si>
  <si>
    <t xml:space="preserve">KIT GALPAO CELEIRO (20,00M²) TELHA VERDE MT R                                                                           </t>
  </si>
  <si>
    <t xml:space="preserve">KIT GALPAO CELEIRO (20,00M²) TELHA VERMELHA MT R                                                                        </t>
  </si>
  <si>
    <t xml:space="preserve">KIT GALPAO CELEIRO (54,24M²)                                                                                            </t>
  </si>
  <si>
    <t xml:space="preserve">KIT GALPAO CELEIRO (54,24M²) STAIN IMPREGNANTE                                                                          </t>
  </si>
  <si>
    <t xml:space="preserve">KIT GALPAO CELEIRO (54,24M²) TELHA VERDE MT R                                                                           </t>
  </si>
  <si>
    <t xml:space="preserve">KIT GALPAO CELEIRO (54,24M²) TELHA VERMELHA MT R                                                                        </t>
  </si>
  <si>
    <t xml:space="preserve">KIT GALPAO CELEIRO (64,68M²)  PAREDE DUPLA                                                                              </t>
  </si>
  <si>
    <t xml:space="preserve">KIT GALPAO CELEIRO (64,88 M²) ASSOALHO                                                                                  </t>
  </si>
  <si>
    <t xml:space="preserve">KIT GALPAO CELEIRO (64,88 M²) TELHA VERDE MT R                                                                          </t>
  </si>
  <si>
    <t xml:space="preserve">KIT GALPAO CELEIRO (64,88 M²) TELHA VERMELHA MT R                                                                       </t>
  </si>
  <si>
    <t xml:space="preserve">KIT GALPAO CELEIRO (64,88M²) FORRO EXTERNO                                                                              </t>
  </si>
  <si>
    <t xml:space="preserve">KIT GALPAO CELEIRO (64,88M²) R                                                                                          </t>
  </si>
  <si>
    <t xml:space="preserve">KIT GALPAO CELEIRO (64,88M²) STAIN IMPREGNANTE                                                                          </t>
  </si>
  <si>
    <t xml:space="preserve">KIT GALPAO CELEIRO (99,96M²)                                                                                            </t>
  </si>
  <si>
    <t xml:space="preserve">KIT GALPAO CELEIRO (99,96M²) PAREDE DUPLA                                                                               </t>
  </si>
  <si>
    <t xml:space="preserve">KIT GALPAO CELEIRO (99,96M²) STAIN IMPREGNANTE                                                                          </t>
  </si>
  <si>
    <t xml:space="preserve">KIT GALPAO CELEIRO (99,96M²) TELHA VERDE MT R                                                                           </t>
  </si>
  <si>
    <t xml:space="preserve">KIT GALPAO CELEIRO (99,96M²) TELHA VERMELHA MT R                                                                        </t>
  </si>
  <si>
    <t xml:space="preserve">KIT GALPAO CELEIRO II (300M²) FORRO EXTERNO R                                                                           </t>
  </si>
  <si>
    <t xml:space="preserve">KIT GALPAO CELEIRO II (300M²) PAREDE DUPLA R                                                                            </t>
  </si>
  <si>
    <t xml:space="preserve">KIT GALPAO CELEIRO II (300M²) R                                                                                         </t>
  </si>
  <si>
    <t xml:space="preserve">KIT GALPAO CELEIRO II (300M²) STAIN IMPREGNANTE                                                                         </t>
  </si>
  <si>
    <t xml:space="preserve">KIT GALPAO CELEIRO II (300M²) TELHA VERDE R                                                                             </t>
  </si>
  <si>
    <t xml:space="preserve">KIT GALPAO CELEIRO II (300M²) TELHA VERMELHA R                                                                          </t>
  </si>
  <si>
    <t xml:space="preserve">KIT GALPAO II (77,00M² )                                                                                                </t>
  </si>
  <si>
    <t xml:space="preserve">KIT GALPAO II (77,00M² ) STAIN IMPREGNANTE                                                                              </t>
  </si>
  <si>
    <t xml:space="preserve">KIT GALPAO II (77,00M² ) TELHA PRETA R                                                                                  </t>
  </si>
  <si>
    <t xml:space="preserve">KIT GALPAO II (77,00M² ) TELHA VERDE R                                                                                  </t>
  </si>
  <si>
    <t xml:space="preserve">KIT GALPAO II (77,00M² ) TELHA VERMELHA R                                                                               </t>
  </si>
  <si>
    <t xml:space="preserve">KIT GUARAMIRIM (120,10M²)                                                                                               </t>
  </si>
  <si>
    <t xml:space="preserve">KIT GUARAMIRIM (120,10M²) PAREDE DUPLA                                                                                  </t>
  </si>
  <si>
    <t xml:space="preserve">KIT GUARAMIRIM (120,10M²) STAIN IMPREGNANTE                                                                             </t>
  </si>
  <si>
    <t xml:space="preserve">KIT GUARAMIRIM (120,10M²) TELHA VERDE                                                                                   </t>
  </si>
  <si>
    <t xml:space="preserve">KIT GUARAMIRIM (120,10M²) TELHA VERMELHA                                                                                </t>
  </si>
  <si>
    <t xml:space="preserve">KIT ITAJAI (78,5M²)                                                                                                     </t>
  </si>
  <si>
    <t xml:space="preserve">KIT ITAJAI (78,5M²) PAREDE DUPLA                                                                                        </t>
  </si>
  <si>
    <t xml:space="preserve">KIT ITAJAI (78,5M²) STAIN IMPREGNANTE                                                                                   </t>
  </si>
  <si>
    <t xml:space="preserve">KIT ITAJAI (78,5M²) TELHA VERDE                                                                                         </t>
  </si>
  <si>
    <t xml:space="preserve">KIT ITAJAI (78,5M²) TELHA VERMELHA                                                                                      </t>
  </si>
  <si>
    <t xml:space="preserve">KIT MADEIRAMENTO 1.8                                                                                                    </t>
  </si>
  <si>
    <t xml:space="preserve">KIT MATO GROSSO (246,18M²)                                                                                              </t>
  </si>
  <si>
    <t xml:space="preserve">KIT MATO GROSSO (246,18M²) PAREDE DUPLA                                                                                 </t>
  </si>
  <si>
    <t xml:space="preserve">KIT MATO GROSSO (246,18M²) STAIN IMPREGNANTE                                                                            </t>
  </si>
  <si>
    <t xml:space="preserve">KIT MATO GROSSO (246,18M²) TELHA VERDE                                                                                  </t>
  </si>
  <si>
    <t xml:space="preserve">KIT MATO GROSSO (246,18M²) TELHA VERMELHA                                                                               </t>
  </si>
  <si>
    <t xml:space="preserve">KIT MODULAR 1 (30,24M²) STAIN IMPREGNANTE                                                                               </t>
  </si>
  <si>
    <t xml:space="preserve">KIT MODULAR 1 (30,24M²) TELHA VERDE                                                                                     </t>
  </si>
  <si>
    <t xml:space="preserve">KIT MODULAR 1 (30,24M²) TELHA VERMELHA                                                                                  </t>
  </si>
  <si>
    <t xml:space="preserve">KIT NAVEGANTES (111M²)                                                                                                  </t>
  </si>
  <si>
    <t xml:space="preserve">KIT NAVEGANTES (111M²) PAREDE DUPLA                                                                                     </t>
  </si>
  <si>
    <t xml:space="preserve">KIT NAVEGANTES (111M²) STAIN IMPREGNANTE                                                                                </t>
  </si>
  <si>
    <t xml:space="preserve">KIT NAVEGANTES (111M²) TELHA VERDE                                                                                      </t>
  </si>
  <si>
    <t xml:space="preserve">KIT NAVEGANTES (111M²) TELHA VERMELHA                                                                                   </t>
  </si>
  <si>
    <t xml:space="preserve">KIT OURO PRETO (96,16M²)                                                                                                </t>
  </si>
  <si>
    <t xml:space="preserve">KIT OURO PRETO (96,16M²) PAREDE DUPLA                                                                                   </t>
  </si>
  <si>
    <t xml:space="preserve">KIT OURO PRETO (96,16M²) STAIN IMPREGNANTE                                                                              </t>
  </si>
  <si>
    <t xml:space="preserve">KIT OURO PRETO (96,16M²) TELHA VERDE                                                                                    </t>
  </si>
  <si>
    <t xml:space="preserve">KIT OURO PRETO (96,16M²) TELHA VERMELHA                                                                                 </t>
  </si>
  <si>
    <t xml:space="preserve">KIT PARANAPANEMA (115,50M²) PAREDE DUPLA                                                                                </t>
  </si>
  <si>
    <t xml:space="preserve">KIT PC 1.0 (48,10M²)                                                                                                    </t>
  </si>
  <si>
    <t xml:space="preserve">KIT PC 1.0 (48,10M²) FORRO EXTERNO                                                                                      </t>
  </si>
  <si>
    <t xml:space="preserve">KIT PC 1.0 (48,10M²) STAIN IMPREGNANTE (FORRO)                                                                          </t>
  </si>
  <si>
    <t xml:space="preserve">KIT PC 1.0 (48,10M²) TELHA VERDE MT                                                                                     </t>
  </si>
  <si>
    <t xml:space="preserve">KIT PC 1.0 (48,10M²) TELHA VERMELHA MT                                                                                  </t>
  </si>
  <si>
    <t xml:space="preserve">KIT PC 2.0 (30,26M²)                                                                                                    </t>
  </si>
  <si>
    <t xml:space="preserve">KIT PC 2.0 (30,26M²) FORRO EXTERNO                                                                                      </t>
  </si>
  <si>
    <t xml:space="preserve">KIT PC 2.0 (30,26M²) STAIN IMPREGNANTE (FORRO)                                                                          </t>
  </si>
  <si>
    <t xml:space="preserve">KIT PC 2.0 (30,26M²) TELHA VERDE MT                                                                                     </t>
  </si>
  <si>
    <t xml:space="preserve">KIT PC 2.0 (30,26M²) TELHA VERMELHA MT                                                                                  </t>
  </si>
  <si>
    <t xml:space="preserve">KIT PD 2.0  TELHA VERMELHA R                                                                                            </t>
  </si>
  <si>
    <t xml:space="preserve">KIT PD 2.0 (146,3M²)                                                                                                    </t>
  </si>
  <si>
    <t xml:space="preserve">KIT PD 2.0 (146,3M²) STAIN IMPREGNANTE                                                                                  </t>
  </si>
  <si>
    <t xml:space="preserve">KIT PD 2.0 (146,3M²) TELHA VERDE R                                                                                      </t>
  </si>
  <si>
    <t xml:space="preserve">KIT PD 2.3 (84,69M²)                                                                                                    </t>
  </si>
  <si>
    <t xml:space="preserve">KIT PD 2.3 (84,69M²) ASSOALHO                                                                                           </t>
  </si>
  <si>
    <t xml:space="preserve">KIT PD 2.3 (84,69M²) STAIN IMPREGNANTE                                                                                  </t>
  </si>
  <si>
    <t xml:space="preserve">KIT PD 2.3 (84,69M²) TELHA VERDE                                                                                        </t>
  </si>
  <si>
    <t xml:space="preserve">KIT PD 2.3 (84,69M²) TELHA VERMELHA                                                                                     </t>
  </si>
  <si>
    <t xml:space="preserve">KIT PD 4.0 (275M²)                                                                                                      </t>
  </si>
  <si>
    <t xml:space="preserve">KIT PD BALNEARIO PICARRAS (66,29M²)                                                                                     </t>
  </si>
  <si>
    <t xml:space="preserve">KIT PD BALNEARIO PICARRAS (66,29M²) STAIN IMPREGNANTE                                                                   </t>
  </si>
  <si>
    <t xml:space="preserve">KIT PD BALNEARIO PICARRAS (66,29M²) TELHA VERDE MT                                                                      </t>
  </si>
  <si>
    <t xml:space="preserve">KIT PD BALNEARIO PICARRAS (66,29M²) TELHA VERMELHA MT                                                                   </t>
  </si>
  <si>
    <t xml:space="preserve">KIT PD CAMBORIU (101,58 M²)                                                                                             </t>
  </si>
  <si>
    <t xml:space="preserve">KIT PD CAMBORIU (101,58 M²)  STAIN IMPREGNATE                                                                           </t>
  </si>
  <si>
    <t xml:space="preserve">KIT PD CAMBORIU (101,58 M²)  TELHA VERDE MT R                                                                           </t>
  </si>
  <si>
    <t xml:space="preserve">KIT PD CAMBORIU (101,58 M²)  TELHA VERMELHA MT R                                                                        </t>
  </si>
  <si>
    <t xml:space="preserve">KIT PD CANOINHAS (155,22M²)                                                                                             </t>
  </si>
  <si>
    <t xml:space="preserve">KIT PD CANOINHAS (155,22M²) STAIN IMPREGNANTE                                                                           </t>
  </si>
  <si>
    <t xml:space="preserve">KIT PD CANOINHAS (155,22M²) TELHA VERDE MT                                                                              </t>
  </si>
  <si>
    <t xml:space="preserve">KIT PD CANOINHAS (155,22M²) TELHA VERMELHA MT                                                                           </t>
  </si>
  <si>
    <t xml:space="preserve">KIT PD CARATINGA (228,80M²)                                                                                             </t>
  </si>
  <si>
    <t xml:space="preserve">KIT PD CARATINGA (228,80M²) STAIN IMPREGNANTE                                                                           </t>
  </si>
  <si>
    <t xml:space="preserve">KIT PD CARATINGA (228,80M²) TELHA VERDE MT                                                                              </t>
  </si>
  <si>
    <t xml:space="preserve">KIT PD CARATINGA (228,80M²) TELHA VERMELHA MT                                                                           </t>
  </si>
  <si>
    <t xml:space="preserve">KIT PD CHAPECO (163,30M²)  R                                                                                            </t>
  </si>
  <si>
    <t xml:space="preserve">KIT PD CHAPECO (163,30M²) STAIN IMPREGNANTE                                                                             </t>
  </si>
  <si>
    <t xml:space="preserve">KIT PD CHAPECO (163,30M²) TELHA VERDE R                                                                                 </t>
  </si>
  <si>
    <t xml:space="preserve">KIT PD CHAPECO (163,30M²) TELHA VERMELHA R                                                                              </t>
  </si>
  <si>
    <t xml:space="preserve">KIT PD CRICIUMA II (103,59M²)                                                                                           </t>
  </si>
  <si>
    <t xml:space="preserve">KIT PD CRICIUMA II (103,59M²) STAIN IMPREGNANTE                                                                         </t>
  </si>
  <si>
    <t xml:space="preserve">KIT PD CRICIUMA II (103,59M²) TELHA PRETA R                                                                             </t>
  </si>
  <si>
    <t xml:space="preserve">KIT PD CRICIUMA II (103,59M²) TELHA VERDE MT R                                                                          </t>
  </si>
  <si>
    <t xml:space="preserve">KIT PD CRICIUMA II (103,59M²) TELHA VERMELHA MT R                                                                       </t>
  </si>
  <si>
    <t xml:space="preserve">KIT PD CUIABA (48,84M²)                                                                                                 </t>
  </si>
  <si>
    <t xml:space="preserve">KIT PD CUIABA (48,84M²) STAIN IMPREGNANTE                                                                               </t>
  </si>
  <si>
    <t xml:space="preserve">KIT PD CUIABA (48,84M²) TELHA VERDE R                                                                                   </t>
  </si>
  <si>
    <t xml:space="preserve">KIT PD CUIABA (48,84M²) TELHA VERMELHA R                                                                                </t>
  </si>
  <si>
    <t xml:space="preserve">KIT PD CURITIBANOS (122,59M²)                                                                                           </t>
  </si>
  <si>
    <t xml:space="preserve">KIT PD CURITIBANOS (122,59M²) FORRO EXTERNO                                                                             </t>
  </si>
  <si>
    <t xml:space="preserve">KIT PD CURITIBANOS (122,59M²) STAIN IMPREGNANTE                                                                         </t>
  </si>
  <si>
    <t xml:space="preserve">KIT PD CURITIBANOS (122,59M²) TELHA VERDE MT R                                                                          </t>
  </si>
  <si>
    <t xml:space="preserve">KIT PD CURITIBANOS (122,59M²) TELHA VERMELHA MT R                                                                       </t>
  </si>
  <si>
    <t xml:space="preserve">KIT PD DIVINOPOLIS (86,97 M²)                                                                                           </t>
  </si>
  <si>
    <t xml:space="preserve">KIT PD DIVINOPOLIS(86,97 M²) PORTA EXTERNA E JANELAS                                                                    </t>
  </si>
  <si>
    <t xml:space="preserve">KIT PD DIVINOPOLIS(86,97 M²) STAIN IMPREGNANTE                                                                          </t>
  </si>
  <si>
    <t xml:space="preserve">KIT PD DIVINOPOLIS(86,97 M²) TELHA VERDE MT R                                                                           </t>
  </si>
  <si>
    <t xml:space="preserve">KIT PD DIVINOPOLIS(86,97 M²) TELHA VERMELHA MT R                                                                        </t>
  </si>
  <si>
    <t xml:space="preserve">KIT PD DOURADOS (119,60M²) R                                                                                            </t>
  </si>
  <si>
    <t xml:space="preserve">KIT PD EXP GUADALUPE 278,38M²                                                                                           </t>
  </si>
  <si>
    <t xml:space="preserve">KIT PD EXP GUADALUPE 278,38M² TELHA VERMELHA                                                                            </t>
  </si>
  <si>
    <t xml:space="preserve">KIT PD GASPAR (81,35M²)                                                                                                 </t>
  </si>
  <si>
    <t xml:space="preserve">KIT PD GASPAR (81,35M²) STAIN IMPREGNANTE                                                                               </t>
  </si>
  <si>
    <t xml:space="preserve">KIT PD GASPAR (81,35M²) TELHA VERDE MT R                                                                                </t>
  </si>
  <si>
    <t xml:space="preserve">KIT PD GASPAR (81,35M²) TELHA VERMELHA MT R                                                                             </t>
  </si>
  <si>
    <t xml:space="preserve">KIT PD ITAPOCU (77,29M²)  R                                                                                             </t>
  </si>
  <si>
    <t xml:space="preserve">KIT PD ITAPOCU (77,29M²) STAIN IMPREGNANTE                                                                              </t>
  </si>
  <si>
    <t xml:space="preserve">KIT PD ITAPOCU (77,29M²) TELHA VERDE MT                                                                                 </t>
  </si>
  <si>
    <t xml:space="preserve">KIT PD ITAPOCU (77,29M²) TELHA VERMELHA  MT                                                                             </t>
  </si>
  <si>
    <t xml:space="preserve">KIT PD MATO GROSSO DO SUL (185,68M²)                                                                                    </t>
  </si>
  <si>
    <t xml:space="preserve">KIT PD MATO GROSSO DO SUL (185,68M²) ASSOALHO                                                                           </t>
  </si>
  <si>
    <t xml:space="preserve">KIT PD MATO GROSSO DO SUL (185,68M²) STAIN IMPREGNANTE                                                                  </t>
  </si>
  <si>
    <t xml:space="preserve">KIT PD MATO GROSSO DO SUL (185,68M²) TELHA VERDE R                                                                      </t>
  </si>
  <si>
    <t xml:space="preserve">KIT PD MATO GROSSO DO SUL (185,68M²) TELHA VERMELHA R                                                                   </t>
  </si>
  <si>
    <t xml:space="preserve">KIT PD MINAS GERAIS (268,05M²)                                                                                          </t>
  </si>
  <si>
    <t xml:space="preserve">KIT PD MINAS GERAIS (268,05M²) STAIN IMPREGNANTE                                                                        </t>
  </si>
  <si>
    <t xml:space="preserve">KIT PD MINAS GERAIS (268,05M²) TELHA VERDE MT R                                                                         </t>
  </si>
  <si>
    <t xml:space="preserve">KIT PD MINAS GERAIS (268,05M²) TELHA VERMELHA MT R                                                                      </t>
  </si>
  <si>
    <t xml:space="preserve">KIT PD MINAS GERAIS II (251,49M²)                                                                                       </t>
  </si>
  <si>
    <t xml:space="preserve">KIT PD MINAS GERAIS II (251,49M²) STAIN IMPREGNANTE                                                                     </t>
  </si>
  <si>
    <t xml:space="preserve">KIT PD MINAS GERAIS II (251,49M²) TELHA VERDE MT R                                                                      </t>
  </si>
  <si>
    <t xml:space="preserve">KIT PD MINAS GERAIS II (251,49M²) TELHA VERMELHA MT R                                                                   </t>
  </si>
  <si>
    <t xml:space="preserve">KIT PD PARANAPANEMA (120,00M² ) STAIN IMPREGNANTE                                                                       </t>
  </si>
  <si>
    <t xml:space="preserve">KIT PD PARANAPANEMA (120,00M²)                                                                                          </t>
  </si>
  <si>
    <t xml:space="preserve">KIT PD PARANAPANEMA (120,00M²) TELHA VERDE MT                                                                           </t>
  </si>
  <si>
    <t xml:space="preserve">KIT PD PARANAPANEMA (120,00M²) TELHA VERMELHA MT                                                                        </t>
  </si>
  <si>
    <t xml:space="preserve">KIT PD PENHA (21,8M²)                                                                                                   </t>
  </si>
  <si>
    <t xml:space="preserve">KIT PD PENHA (21,8M²) STAIN IMPREGNANTE                                                                                 </t>
  </si>
  <si>
    <t xml:space="preserve">KIT PD PENHA (21,8M²) TELHA VERDE MT R                                                                                  </t>
  </si>
  <si>
    <t xml:space="preserve">KIT PD PENHA (21,8M²) TELHA VERMELHA MT                                                                                 </t>
  </si>
  <si>
    <t xml:space="preserve">KIT PD PIRASSUNUNGA (120,30M²) R                                                                                        </t>
  </si>
  <si>
    <t xml:space="preserve">KIT PD PIRASSUNUNGA (120,30M²) STAIN IMPREGNANTE                                                                        </t>
  </si>
  <si>
    <t xml:space="preserve">KIT PD PIRASSUNUNGA (120,30M²) TELHA VERDE MT R                                                                         </t>
  </si>
  <si>
    <t xml:space="preserve">KIT PD PIRASSUNUNGA (120,30M²) TELHA VERMELHA MT R                                                                      </t>
  </si>
  <si>
    <t xml:space="preserve">KIT PD RIO DE JANEIRO (179,85M²)                                                                                        </t>
  </si>
  <si>
    <t xml:space="preserve">KIT PD RIO DE JANEIRO (179,85M²) FORRO EXTERNO                                                                          </t>
  </si>
  <si>
    <t xml:space="preserve">KIT PD RIO DE JANEIRO (179,85M²) PAREDE DUPLA                                                                           </t>
  </si>
  <si>
    <t xml:space="preserve">KIT PD RIO DE JANEIRO (179,85M²) STAIN IMPREGNANTE                                                                      </t>
  </si>
  <si>
    <t xml:space="preserve">KIT PD RIO DE JANEIRO (179,85M²) TELHA VERDE R                                                                          </t>
  </si>
  <si>
    <t xml:space="preserve">KIT PD RIO DE JANEIRO (179,85M²) TELHA VERMELHA R                                                                       </t>
  </si>
  <si>
    <t xml:space="preserve">KIT PD SAO PAULO (174,05M²)                                                                                             </t>
  </si>
  <si>
    <t xml:space="preserve">KIT PD SAO PAULO (174,05M²) STAIN IMPREGNANTE                                                                           </t>
  </si>
  <si>
    <t xml:space="preserve">KIT PD SAO PAULO (174,05M²) TELHA PRETA MT R                                                                            </t>
  </si>
  <si>
    <t xml:space="preserve">KIT PD SAO PAULO (174,05M²) TELHA VERDE MT R                                                                            </t>
  </si>
  <si>
    <t xml:space="preserve">KIT PD SAO PAULO (174,05M²) TELHA VERMELHA MT R                                                                         </t>
  </si>
  <si>
    <t xml:space="preserve">KIT PD TABULEIRO 30,5M² ASSOALHO                                                                                        </t>
  </si>
  <si>
    <t xml:space="preserve">KIT PD TABULEIRO 30,5M² STAIN                                                                                           </t>
  </si>
  <si>
    <t xml:space="preserve">KIT PD TABULEIRO 30,5M² TELHAS VERDES R                                                                                 </t>
  </si>
  <si>
    <t xml:space="preserve">KIT PD TABULEIRO 30,5M² TELHAS VERMELHAS R                                                                              </t>
  </si>
  <si>
    <t xml:space="preserve">KIT PD TIJUCAS I (63,76M²)                                                                                              </t>
  </si>
  <si>
    <t xml:space="preserve">KIT PD TIJUCAS I (63,76M²) STAIN IMPREGNANTE                                                                            </t>
  </si>
  <si>
    <t xml:space="preserve">KIT PD TIJUCAS I (63,76M²) TELHA VERDE  MT R                                                                            </t>
  </si>
  <si>
    <t xml:space="preserve">KIT PD TIJUCAS I (63,76M²) TELHA VERMELHA MT R                                                                          </t>
  </si>
  <si>
    <t xml:space="preserve">KIT PD TIJUCAS IV (167,63M²) FORRO EXTERNO                                                                              </t>
  </si>
  <si>
    <t xml:space="preserve">KIT PD TIJUCAS IV (167,63M²) R                                                                                          </t>
  </si>
  <si>
    <t xml:space="preserve">KIT PD TIJUCAS IV (167,63M²) STAIN IMPREGNANTE                                                                          </t>
  </si>
  <si>
    <t xml:space="preserve">KIT PD TIJUCAS IV (167,63M²) TELHA VERDE R                                                                              </t>
  </si>
  <si>
    <t xml:space="preserve">KIT PD TIJUCAS IV (167,63M²) TELHA VERMELHA R                                                                           </t>
  </si>
  <si>
    <t xml:space="preserve">KIT PD TIJUCAS V (237,13M²)                                                                                             </t>
  </si>
  <si>
    <t xml:space="preserve">KIT PD TIJUCAS V (237,13M²) STAIN IMPREGNANTE                                                                           </t>
  </si>
  <si>
    <t xml:space="preserve">KIT PD TIJUCAS V (237,13M²) TELHA VERDE MT R                                                                            </t>
  </si>
  <si>
    <t xml:space="preserve">KIT PD TIJUCAS V (237,13M²) TELHA VERMELHA MT R                                                                         </t>
  </si>
  <si>
    <t xml:space="preserve">KIT PD UBERABA (106,14M²)                                                                                               </t>
  </si>
  <si>
    <t xml:space="preserve">KIT PD UBERABA (106,14M²) STAIN IMPREGNANTE                                                                             </t>
  </si>
  <si>
    <t xml:space="preserve">KIT PD UBERABA (106,14M²) TELHA PRETA MT R                                                                              </t>
  </si>
  <si>
    <t xml:space="preserve">KIT PD UBERABA (106,14M²) TELHA VERDE MT R                                                                              </t>
  </si>
  <si>
    <t xml:space="preserve">KIT PD UBERABA (106,14M²) TELHA VERMELHA  MT R                                                                          </t>
  </si>
  <si>
    <t xml:space="preserve">KIT PERUIBE (79M²)                                                                                                      </t>
  </si>
  <si>
    <t xml:space="preserve">KIT PICARRAS (129,46M²)                                                                                                 </t>
  </si>
  <si>
    <t xml:space="preserve">KIT PICARRAS (129,46M²) PAREDE DUPLA                                                                                    </t>
  </si>
  <si>
    <t xml:space="preserve">KIT PICARRAS (129,46M²) STAIN IMPREGNANTE                                                                               </t>
  </si>
  <si>
    <t xml:space="preserve">KIT PICARRAS (129,46M²) TELHA VERDE                                                                                     </t>
  </si>
  <si>
    <t xml:space="preserve">KIT PICARRAS (129,46M²) TELHA VERMELHA                                                                                  </t>
  </si>
  <si>
    <t xml:space="preserve">KIT PIRACICABA (175M²)                                                                                                  </t>
  </si>
  <si>
    <t xml:space="preserve">KIT PIRACICABA (175M²) PAREDE DUPLA                                                                                     </t>
  </si>
  <si>
    <t xml:space="preserve">KIT PIRACICABA (175M²) STAIN IMPREGNANTE                                                                                </t>
  </si>
  <si>
    <t xml:space="preserve">KIT PIRACICABA (175M²) TELHA VERDE                                                                                      </t>
  </si>
  <si>
    <t xml:space="preserve">KIT PIRACICABA (175M²) TELHA VERMELHA                                                                                   </t>
  </si>
  <si>
    <t xml:space="preserve">KIT POP 1.0 (36,75M²) ASSOALHO                                                                                          </t>
  </si>
  <si>
    <t xml:space="preserve">KIT POP 1.0 (36,75M²) FORRO EXTERNO                                                                                     </t>
  </si>
  <si>
    <t xml:space="preserve">KIT POP 1.0 (36,75M²) PAREDE DUPLA                                                                                      </t>
  </si>
  <si>
    <t xml:space="preserve">KIT POP 1.0 (36,75M²) R                                                                                                 </t>
  </si>
  <si>
    <t xml:space="preserve">KIT POP 1.0 (36,75M²) STAIN IMPREGNANTE                                                                                 </t>
  </si>
  <si>
    <t xml:space="preserve">KIT POP 1.0 (36,75M²) TELHA VERDE R                                                                                     </t>
  </si>
  <si>
    <t xml:space="preserve">KIT POP 1.0 (36,75M²) TELHA VERMELHA R                                                                                  </t>
  </si>
  <si>
    <t xml:space="preserve">KIT POP 1.1 (31,5M²)                                                                                                    </t>
  </si>
  <si>
    <t xml:space="preserve">KIT POP 1.1 (31,5M²) ASSOALHO                                                                                           </t>
  </si>
  <si>
    <t xml:space="preserve">KIT POP 1.1 (31,5M²) FORRO EXTERNO                                                                                      </t>
  </si>
  <si>
    <t xml:space="preserve">KIT POP 1.1 (31,5M²) PAREDE DUPLA                                                                                       </t>
  </si>
  <si>
    <t xml:space="preserve">KIT POP 1.1 (31,5M²) STAIN IMPREGNANTE                                                                                  </t>
  </si>
  <si>
    <t xml:space="preserve">KIT POP 1.1 (31,5M²) TELHA VERDE R                                                                                      </t>
  </si>
  <si>
    <t xml:space="preserve">KIT POP 1.1 (31,5M²) TELHA VERMELHA R                                                                                   </t>
  </si>
  <si>
    <t xml:space="preserve">KIT POP 1.10 (54,85M²) ASSOALHO                                                                                         </t>
  </si>
  <si>
    <t xml:space="preserve">KIT POP 1.10 (54,85M²) PAREDE DUPLA                                                                                     </t>
  </si>
  <si>
    <t xml:space="preserve">KIT POP 1.10 (54,85M²) R                                                                                                </t>
  </si>
  <si>
    <t xml:space="preserve">KIT POP 1.10 (54,85M²) STAIN IMPREGNANTE                                                                                </t>
  </si>
  <si>
    <t xml:space="preserve">KIT POP 1.10 (54,85M²) TELHA VERDE MT R                                                                                 </t>
  </si>
  <si>
    <t xml:space="preserve">KIT POP 1.10 (54,85M²) TELHA VERMELHA MT R                                                                              </t>
  </si>
  <si>
    <t xml:space="preserve">KIT POP 1.11 (30,25M²)                                                                                                  </t>
  </si>
  <si>
    <t xml:space="preserve">KIT POP 1.11 (30,25M²) FORRO EXTERNO                                                                                    </t>
  </si>
  <si>
    <t xml:space="preserve">KIT POP 1.11 (30,25M²) STAIN IMPREGNANTE                                                                                </t>
  </si>
  <si>
    <t xml:space="preserve">KIT POP 1.11 (30,25M²) TELHA VERDE MT R                                                                                 </t>
  </si>
  <si>
    <t xml:space="preserve">KIT POP 1.11 (30,25M²) TELHA VERMELHA MT R                                                                              </t>
  </si>
  <si>
    <t xml:space="preserve">KIT POP 1.12 (18,74M²)                                                                                                  </t>
  </si>
  <si>
    <t xml:space="preserve">KIT POP 1.12 (18,74M²) STAIN IMPREGNANTE                                                                                </t>
  </si>
  <si>
    <t xml:space="preserve">KIT POP 1.12 (18,74M²) TELHA VERDE MT R                                                                                 </t>
  </si>
  <si>
    <t xml:space="preserve">KIT POP 1.12 (18,74M²) TELHA VERMELHA MT R                                                                              </t>
  </si>
  <si>
    <t xml:space="preserve">KIT POP 1.13 (28,00M²)                                                                                                  </t>
  </si>
  <si>
    <t xml:space="preserve">KIT POP 1.13 (28,00M²) PAREDE DUPLA                                                                                     </t>
  </si>
  <si>
    <t xml:space="preserve">KIT POP 1.13 (28,00M²) STAIN IMPREGNANTE                                                                                </t>
  </si>
  <si>
    <t xml:space="preserve">KIT POP 1.13 (28,00M²) TELHA VERDE MT R                                                                                 </t>
  </si>
  <si>
    <t xml:space="preserve">KIT POP 1.13 (28,00M²) TELHA VERMELHA MT R                                                                              </t>
  </si>
  <si>
    <t xml:space="preserve">KIT POP 1.2 90,95 M²                                                                                                    </t>
  </si>
  <si>
    <t xml:space="preserve">KIT POP 1.2 90,95 M² ASSOALHO                                                                                           </t>
  </si>
  <si>
    <t xml:space="preserve">KIT POP 1.2 90,95 M² STAIN IMPREGNANTE                                                                                  </t>
  </si>
  <si>
    <t xml:space="preserve">KIT POP 1.2 90,95 M² TELHA VERDE R                                                                                      </t>
  </si>
  <si>
    <t xml:space="preserve">KIT POP 1.2 90,95 M² TELHA VERMELHA R                                                                                   </t>
  </si>
  <si>
    <t xml:space="preserve">KIT POP 1.3 (34,35M²)                                                                                                   </t>
  </si>
  <si>
    <t xml:space="preserve">KIT POP 1.3 (34,35M²) ASSOALHO                                                                                          </t>
  </si>
  <si>
    <t xml:space="preserve">KIT POP 1.3 (34,35M²) FORRO EXTERNO                                                                                     </t>
  </si>
  <si>
    <t xml:space="preserve">KIT POP 1.3 (34,35M²) PAREDE DUPLA                                                                                      </t>
  </si>
  <si>
    <t xml:space="preserve">KIT POP 1.3 (34,35M²) STAIN IMPREGNANTE                                                                                 </t>
  </si>
  <si>
    <t xml:space="preserve">KIT POP 1.3 (34,35M²) TELHA VERDE MT R                                                                                  </t>
  </si>
  <si>
    <t xml:space="preserve">KIT POP 1.3 (34,35M²) TELHA VERMELHA MT R                                                                               </t>
  </si>
  <si>
    <t xml:space="preserve">KIT POP 1.4 (37,35M²)                                                                                                   </t>
  </si>
  <si>
    <t xml:space="preserve">KIT POP 1.4 (37,35M²) ASSOALHO                                                                                          </t>
  </si>
  <si>
    <t xml:space="preserve">KIT POP 1.4 (37,35M²) FORRO EXTERNO                                                                                     </t>
  </si>
  <si>
    <t xml:space="preserve">KIT POP 1.4 (37,35M²) PAREDE DUPLA                                                                                      </t>
  </si>
  <si>
    <t xml:space="preserve">KIT POP 1.4 (37,35M²) STAIN IMPREGNANTE                                                                                 </t>
  </si>
  <si>
    <t xml:space="preserve">KIT POP 1.4 (37,35M²) TELHA VERDE MT R                                                                                  </t>
  </si>
  <si>
    <t xml:space="preserve">KIT POP 1.4 (37,35M²) TELHA VERMELHA MT R                                                                               </t>
  </si>
  <si>
    <t xml:space="preserve">KIT POP 1.5 (30M²) ASSOALHO                                                                                             </t>
  </si>
  <si>
    <t xml:space="preserve">KIT POP 1.5 (30M²) FORRO EXTERNO                                                                                        </t>
  </si>
  <si>
    <t xml:space="preserve">KIT POP 1.5 (30M²) PAREDE DUPLA                                                                                         </t>
  </si>
  <si>
    <t xml:space="preserve">KIT POP 1.5 (30M²) STAIN IMPREGNANTE                                                                                    </t>
  </si>
  <si>
    <t xml:space="preserve">KIT POP 1.5 (30M²) TELHA VERDE R                                                                                        </t>
  </si>
  <si>
    <t xml:space="preserve">KIT POP 1.5 (30M²) TELHA VERMELHA R                                                                                     </t>
  </si>
  <si>
    <t xml:space="preserve">KIT POP 1.6 (36M²) ASSOALHO                                                                                             </t>
  </si>
  <si>
    <t xml:space="preserve">KIT POP 1.6 (36M²) FORRO EXTERNO                                                                                        </t>
  </si>
  <si>
    <t xml:space="preserve">KIT POP 1.6 (36M²) PAREDE DUPLA                                                                                         </t>
  </si>
  <si>
    <t xml:space="preserve">KIT POP 1.6 (36M²) STAIN IMPREGNANTE                                                                                    </t>
  </si>
  <si>
    <t xml:space="preserve">KIT POP 1.6 (36M²) TELHA VERDE R                                                                                        </t>
  </si>
  <si>
    <t xml:space="preserve">KIT POP 1.6 (36M²) TELHA VERMELHA R                                                                                     </t>
  </si>
  <si>
    <t xml:space="preserve">KIT POP 1.9 (42M²) ASSOALHO                                                                                             </t>
  </si>
  <si>
    <t xml:space="preserve">KIT POP 1.9 (42M²) FORRO EXTERNO                                                                                        </t>
  </si>
  <si>
    <t xml:space="preserve">KIT POP 1.9 (42M²) PAREDE DUPLA                                                                                         </t>
  </si>
  <si>
    <t xml:space="preserve">KIT POP 1.9 (42M²) STAIN IMPREGNANTE                                                                                    </t>
  </si>
  <si>
    <t xml:space="preserve">KIT POP 1.9 (42M²) TELHA VERDE R                                                                                        </t>
  </si>
  <si>
    <t xml:space="preserve">KIT POP 1.9 (42M²) TELHA VERMELHA R                                                                                     </t>
  </si>
  <si>
    <t xml:space="preserve">KIT POP 2.0 (60,29M²) ASSOALHO                                                                                          </t>
  </si>
  <si>
    <t xml:space="preserve">KIT POP 2.0 (60,29M²) FORRO EXTERNO                                                                                     </t>
  </si>
  <si>
    <t xml:space="preserve">KIT POP 2.0 (60,29M²) PAREDE DUPLA                                                                                      </t>
  </si>
  <si>
    <t xml:space="preserve">KIT POP 2.0 (60,29M²) R                                                                                                 </t>
  </si>
  <si>
    <t xml:space="preserve">KIT POP 2.0 (60,29M²) STAIN IMPREGNANTE                                                                                 </t>
  </si>
  <si>
    <t xml:space="preserve">KIT POP 2.0 (60,29M²) TELHA VERDE MT R                                                                                  </t>
  </si>
  <si>
    <t xml:space="preserve">KIT POP 2.0 (60,29M²) TELHA VERMELHA MT R                                                                               </t>
  </si>
  <si>
    <t xml:space="preserve">KIT POP 2.1 (68,3M²)                                                                                                    </t>
  </si>
  <si>
    <t xml:space="preserve">KIT POP 2.1 (68,3M²) ASSOALHO                                                                                           </t>
  </si>
  <si>
    <t xml:space="preserve">KIT POP 2.1 (68,3M²) FORRO EXTERNO                                                                                      </t>
  </si>
  <si>
    <t xml:space="preserve">KIT POP 2.1 (68,3M²) PAREDE DUPLA                                                                                       </t>
  </si>
  <si>
    <t xml:space="preserve">KIT POP 2.1 (68,3M²) STAIN IMPREGNANTE                                                                                  </t>
  </si>
  <si>
    <t xml:space="preserve">KIT POP 2.1 (68,3M²) TELHA VERDE R                                                                                      </t>
  </si>
  <si>
    <t xml:space="preserve">KIT POP 2.1 (68,3M²) TELHA VERMELHA R                                                                                   </t>
  </si>
  <si>
    <t xml:space="preserve">KIT POP 2.10 (70,24M²)                                                                                                  </t>
  </si>
  <si>
    <t xml:space="preserve">KIT POP 2.10 (70,24M²) ASSOALHO                                                                                         </t>
  </si>
  <si>
    <t xml:space="preserve">KIT POP 2.10 (70,24M²) PAREDE DUPLA                                                                                     </t>
  </si>
  <si>
    <t xml:space="preserve">KIT POP 2.10 (70,24M²) STAIN IMPREGNANTE                                                                                </t>
  </si>
  <si>
    <t xml:space="preserve">KIT POP 2.10 (70,24M²) TELHA PRETA R                                                                                    </t>
  </si>
  <si>
    <t xml:space="preserve">KIT POP 2.10 (70,24M²) TELHA VERDE R                                                                                    </t>
  </si>
  <si>
    <t xml:space="preserve">KIT POP 2.10 (70,24M²) TELHA VERMELHA R                                                                                 </t>
  </si>
  <si>
    <t xml:space="preserve">KIT POP 2.11 (36,00M²)                                                                                                  </t>
  </si>
  <si>
    <t xml:space="preserve">KIT POP 2.11 (36,00M²) ASSOALHO                                                                                         </t>
  </si>
  <si>
    <t xml:space="preserve">KIT POP 2.11 (36,00M²) FORRO EXTERNO                                                                                    </t>
  </si>
  <si>
    <t xml:space="preserve">KIT POP 2.11 (36,00M²) PAREDE DUPLA                                                                                     </t>
  </si>
  <si>
    <t xml:space="preserve">KIT POP 2.11 (36.00)M² TELHA VERDE R                                                                                    </t>
  </si>
  <si>
    <t xml:space="preserve">KIT POP 2.11 (36.00M²) STAIN IMPREGNANTE                                                                                </t>
  </si>
  <si>
    <t xml:space="preserve">KIT POP 2.11 (36.00M²) TELHA VERMELHA R                                                                                 </t>
  </si>
  <si>
    <t xml:space="preserve">KIT POP 2.12 (31,21M²)                                                                                                  </t>
  </si>
  <si>
    <t xml:space="preserve">KIT POP 2.12 (31,21M²) FORRO EXTERNO                                                                                    </t>
  </si>
  <si>
    <t xml:space="preserve">KIT POP 2.12 (31,21M²) PAREDE DUPLA                                                                                     </t>
  </si>
  <si>
    <t xml:space="preserve">KIT POP 2.12 (31,21M²) STAIN IMPREGNANTE                                                                                </t>
  </si>
  <si>
    <t xml:space="preserve">KIT POP 2.12 (31,21M²) TELHA VERDE R                                                                                    </t>
  </si>
  <si>
    <t xml:space="preserve">KIT POP 2.12 (31,21M²) TELHA VERMELHA R                                                                                 </t>
  </si>
  <si>
    <t xml:space="preserve">KIT POP 2.13 (68,79M²)                                                                                                  </t>
  </si>
  <si>
    <t xml:space="preserve">KIT POP 2.13 (68,79M²) ASSOALHO                                                                                         </t>
  </si>
  <si>
    <t xml:space="preserve">KIT POP 2.13 (68,79M²) FORRO EXTERNO                                                                                    </t>
  </si>
  <si>
    <t xml:space="preserve">KIT POP 2.13 (68,79M²) PAREDE DUPLA                                                                                     </t>
  </si>
  <si>
    <t xml:space="preserve">KIT POP 2.13 (68,79M²) STAIN IMPREGNANTE                                                                                </t>
  </si>
  <si>
    <t xml:space="preserve">KIT POP 2.13 (68,79M²) TELHA VERDE R                                                                                    </t>
  </si>
  <si>
    <t xml:space="preserve">KIT POP 2.13 (68,79M²) TELHA VERMELHA R                                                                                 </t>
  </si>
  <si>
    <t xml:space="preserve">KIT POP 2.14 66,55M² STAIN IMPREGNANTE                                                                                  </t>
  </si>
  <si>
    <t xml:space="preserve">KIT POP 2.14 66,55M² TELHA VERDE R                                                                                      </t>
  </si>
  <si>
    <t xml:space="preserve">KIT POP 2.14 66,55M² TELHA VERMELHA R                                                                                   </t>
  </si>
  <si>
    <t xml:space="preserve">KIT POP 2.15 100,00M² STAIN IMPREGNANTE                                                                                 </t>
  </si>
  <si>
    <t xml:space="preserve">KIT POP 2.16 (114,20M²) FORRO EXTERNO                                                                                   </t>
  </si>
  <si>
    <t xml:space="preserve">KIT POP 2.16 (114,20M²) PAREDE DUPLA                                                                                    </t>
  </si>
  <si>
    <t xml:space="preserve">KIT POP 2.16 (114,20M²) R                                                                                               </t>
  </si>
  <si>
    <t xml:space="preserve">KIT POP 2.16 (114,20M²) STAIN IMPREGNANTE                                                                               </t>
  </si>
  <si>
    <t xml:space="preserve">KIT POP 2.16 (114,20M²) TELHA VERDE MT R                                                                                </t>
  </si>
  <si>
    <t xml:space="preserve">KIT POP 2.16 (114,20M²) TELHA VERMELHA MT R                                                                             </t>
  </si>
  <si>
    <t xml:space="preserve">KIT POP 2.17 (99,93M²)                                                                                                  </t>
  </si>
  <si>
    <t xml:space="preserve">KIT POP 2.17 (99,93M²) FORRO EXTERNO                                                                                    </t>
  </si>
  <si>
    <t xml:space="preserve">KIT POP 2.17 (99,93M²) STAIN IMPREGNANTE                                                                                </t>
  </si>
  <si>
    <t xml:space="preserve">KIT POP 2.17 (99,93M²) TELHA VERDE MT R                                                                                 </t>
  </si>
  <si>
    <t xml:space="preserve">KIT POP 2.17 (99,93M²) TELHA VERMELHA MT R                                                                              </t>
  </si>
  <si>
    <t xml:space="preserve">KIT POP 2.18 (49,64M²)  R                                                                                               </t>
  </si>
  <si>
    <t xml:space="preserve">KIT POP 2.18 (49,64M²) FORRO EXTERNO                                                                                    </t>
  </si>
  <si>
    <t xml:space="preserve">KIT POP 2.18 (49,64M²) PAREDE DUPLA                                                                                     </t>
  </si>
  <si>
    <t xml:space="preserve">KIT POP 2.18 (49,64M²) STAIN IMPREGNANTE                                                                                </t>
  </si>
  <si>
    <t xml:space="preserve">KIT POP 2.18 (49,64M²) TELHAS VERDES MT R                                                                               </t>
  </si>
  <si>
    <t xml:space="preserve">KIT POP 2.18 (49,64M²) TELHAS VERMELHAS MT R                                                                            </t>
  </si>
  <si>
    <t xml:space="preserve">KIT POP 2.2 (52,5M²)  R                                                                                                 </t>
  </si>
  <si>
    <t xml:space="preserve">KIT POP 2.2 (52,5M²) ASSOALHO                                                                                           </t>
  </si>
  <si>
    <t xml:space="preserve">KIT POP 2.2 (52,5M²) FORRO EXTERNO                                                                                      </t>
  </si>
  <si>
    <t xml:space="preserve">KIT POP 2.2 (52,5M²) PAREDE DUPLA                                                                                       </t>
  </si>
  <si>
    <t xml:space="preserve">KIT POP 2.2 (52,5M²) STAIN IMPREGNANTE                                                                                  </t>
  </si>
  <si>
    <t xml:space="preserve">KIT POP 2.2 (52,5M²) TELHA VERDE MT R                                                                                   </t>
  </si>
  <si>
    <t xml:space="preserve">KIT POP 2.2 (52,5M²) TELHA VERMELHA MT R                                                                                </t>
  </si>
  <si>
    <t xml:space="preserve">KIT POP 2.3 (68,76M²)                                                                                                   </t>
  </si>
  <si>
    <t xml:space="preserve">KIT POP 2.3 (68,76M²) ASSOALHO                                                                                          </t>
  </si>
  <si>
    <t xml:space="preserve">KIT POP 2.3 (68,76M²) FORRO EXTERNO                                                                                     </t>
  </si>
  <si>
    <t xml:space="preserve">KIT POP 2.3 (68,76M²) PAREDE DUPLA                                                                                      </t>
  </si>
  <si>
    <t xml:space="preserve">KIT POP 2.3 (68,76M²) STAIN IMPREGNANTE                                                                                 </t>
  </si>
  <si>
    <t xml:space="preserve">KIT POP 2.3 (68,76M²) TELHA VERDE R                                                                                     </t>
  </si>
  <si>
    <t xml:space="preserve">KIT POP 2.3 (68,76M²) TELHA VERMELHA R                                                                                  </t>
  </si>
  <si>
    <t xml:space="preserve">KIT POP 2.4 (45,81M²)                                                                                                   </t>
  </si>
  <si>
    <t xml:space="preserve">KIT POP 2.4 (45,81M²) ASSOALHO                                                                                          </t>
  </si>
  <si>
    <t xml:space="preserve">KIT POP 2.4 (45,81M²) FORRO EXTERNO                                                                                     </t>
  </si>
  <si>
    <t xml:space="preserve">KIT POP 2.4 (45,81M²) PAREDE DUPLA                                                                                      </t>
  </si>
  <si>
    <t xml:space="preserve">KIT POP 2.4 (45,81M²) STAIN IMPREGNANTE                                                                                 </t>
  </si>
  <si>
    <t xml:space="preserve">KIT POP 2.4 (45,81M²) TELHA VERDE MT R                                                                                  </t>
  </si>
  <si>
    <t xml:space="preserve">KIT POP 2.4 (45,81M²) TELHA VERMELHA MT R                                                                               </t>
  </si>
  <si>
    <t xml:space="preserve">KIT POP 2.5 (62,42M²) ASSOALHO                                                                                          </t>
  </si>
  <si>
    <t xml:space="preserve">KIT POP 2.5 (62,42M²) FORRO EXTERNO                                                                                     </t>
  </si>
  <si>
    <t xml:space="preserve">KIT POP 2.5 (62,42M²) PAREDE DUPLA                                                                                      </t>
  </si>
  <si>
    <t xml:space="preserve">KIT POP 2.5 (62,42M²) R                                                                                                 </t>
  </si>
  <si>
    <t xml:space="preserve">KIT POP 2.5 (62,42M²) STAIN IMPREGNANTE                                                                                 </t>
  </si>
  <si>
    <t xml:space="preserve">KIT POP 2.5 (62,42M²) TELHA VERDE MT R                                                                                  </t>
  </si>
  <si>
    <t xml:space="preserve">KIT POP 2.5 (62,42M²) TELHA VERMELHA MT R                                                                               </t>
  </si>
  <si>
    <t xml:space="preserve">KIT POP 2.6 (69,16M²)                                                                                                   </t>
  </si>
  <si>
    <t xml:space="preserve">KIT POP 2.6 (69,16M²) ASSOALHO                                                                                          </t>
  </si>
  <si>
    <t xml:space="preserve">KIT POP 2.6 (69,16M²) PAREDE DUPLA                                                                                      </t>
  </si>
  <si>
    <t xml:space="preserve">KIT POP 2.6 (69,16M²) STAIN IMPREGNANTE                                                                                 </t>
  </si>
  <si>
    <t xml:space="preserve">KIT POP 2.6 (69,16M²) TELHA VERDE MT R                                                                                  </t>
  </si>
  <si>
    <t xml:space="preserve">KIT POP 2.6 (69,16M²) TELHA VERMELHA MT R                                                                               </t>
  </si>
  <si>
    <t xml:space="preserve">KIT POP 2.7 98,25M² ASSOALHO                                                                                            </t>
  </si>
  <si>
    <t xml:space="preserve">KIT POP 2.7 98,25M² FORRO EXTERNO                                                                                       </t>
  </si>
  <si>
    <t xml:space="preserve">KIT POP 2.7 98,25M² PAREDE DUPLA                                                                                        </t>
  </si>
  <si>
    <t xml:space="preserve">KIT POP 2.7 98,25M² STAIN IMPREGNANTE                                                                                   </t>
  </si>
  <si>
    <t xml:space="preserve">KIT POP 2.7 98,25M² TELHA VERDE MT R                                                                                    </t>
  </si>
  <si>
    <t xml:space="preserve">KIT POP 2.7 98,25M² TELHA VERMELHA  MT R                                                                                </t>
  </si>
  <si>
    <t xml:space="preserve">KIT POP 2.8 (71,96M²) ASSOALHO                                                                                          </t>
  </si>
  <si>
    <t xml:space="preserve">KIT POP 2.8 (71,96M²) FORRO EXTERNO                                                                                     </t>
  </si>
  <si>
    <t xml:space="preserve">KIT POP 2.8 (71,96M²) PAREDE DUPLA                                                                                      </t>
  </si>
  <si>
    <t xml:space="preserve">KIT POP 2.8 (71,96M²) R                                                                                                 </t>
  </si>
  <si>
    <t xml:space="preserve">KIT POP 2.8 (71,96M²) SATIN IMPREGNANTE                                                                                 </t>
  </si>
  <si>
    <t xml:space="preserve">KIT POP 2.8 (71,96M²) TELHA VERDE R                                                                                     </t>
  </si>
  <si>
    <t xml:space="preserve">KIT POP 2.8 (71,96M²) TELHA VERMELHA R                                                                                  </t>
  </si>
  <si>
    <t xml:space="preserve">KIT POP 2.9 (62,21M²)                                                                                                   </t>
  </si>
  <si>
    <t xml:space="preserve">KIT POP 2.9 (62,21M²) ASSOALHO                                                                                          </t>
  </si>
  <si>
    <t xml:space="preserve">KIT POP 2.9 (62,21M²) FORRO EXTERNO                                                                                     </t>
  </si>
  <si>
    <t xml:space="preserve">KIT POP 2.9 (62,21M²) PAREDE DUPLA                                                                                      </t>
  </si>
  <si>
    <t xml:space="preserve">KIT POP 2.9 (62,21M²) STAIN IMPREGNANTE                                                                                 </t>
  </si>
  <si>
    <t xml:space="preserve">KIT POP 2.9 (62,21M²) TELHA VERMELHA R                                                                                  </t>
  </si>
  <si>
    <t xml:space="preserve">KIT POP 2.9 (69,21M²) TELHA VERDE R                                                                                     </t>
  </si>
  <si>
    <t xml:space="preserve">KIT POP 3.0 (77,86M²)                                                                                                   </t>
  </si>
  <si>
    <t xml:space="preserve">KIT POP 3.0 (77,86M²) FORRO EXTERNO                                                                                     </t>
  </si>
  <si>
    <t xml:space="preserve">KIT POP 3.0 (77,86M²) PAREDE DUPLA                                                                                      </t>
  </si>
  <si>
    <t xml:space="preserve">KIT POP 3.0 (77,86M²) STAIN IMPREGNANTE                                                                                 </t>
  </si>
  <si>
    <t xml:space="preserve">KIT POP 3.0 (77,86M²) TELHA VERDE R                                                                                     </t>
  </si>
  <si>
    <t xml:space="preserve">KIT POP 3.0 (77,86M²) TELHA VERMELHA R                                                                                  </t>
  </si>
  <si>
    <t xml:space="preserve">KIT POP 3.1 (79,8M²)  R                                                                                                 </t>
  </si>
  <si>
    <t xml:space="preserve">KIT POP 3.1 (79,8M²) ASSOALHO                                                                                           </t>
  </si>
  <si>
    <t xml:space="preserve">KIT POP 3.1 (79,8M²) FORRO EXTERNO                                                                                      </t>
  </si>
  <si>
    <t xml:space="preserve">KIT POP 3.1 (79,8M²) PAREDE DUPLA                                                                                       </t>
  </si>
  <si>
    <t xml:space="preserve">KIT POP 3.1 (79,8M²) STAIN IMPREGNANTE                                                                                  </t>
  </si>
  <si>
    <t xml:space="preserve">KIT POP 3.1 (79,8M²) TELHA VERDE  MT R                                                                                  </t>
  </si>
  <si>
    <t xml:space="preserve">KIT POP 3.1 (79,8M²) TELHA VERMELHA MT R                                                                                </t>
  </si>
  <si>
    <t xml:space="preserve">KIT POP 3.2 (110,58M²) ASSOALHO                                                                                         </t>
  </si>
  <si>
    <t xml:space="preserve">KIT POP 3.2 (110,58M²) FORRO EXTERNO                                                                                    </t>
  </si>
  <si>
    <t xml:space="preserve">KIT POP 3.2 (110,58M²) PAREDE DUPLA                                                                                     </t>
  </si>
  <si>
    <t xml:space="preserve">KIT POP 3.2 (110,58M²) R                                                                                                </t>
  </si>
  <si>
    <t xml:space="preserve">KIT POP 3.2 (110,58M²) STAIN IMPREGNANTE                                                                                </t>
  </si>
  <si>
    <t xml:space="preserve">KIT POP 3.2 (110,58M²) TELHA VERDE MT R                                                                                 </t>
  </si>
  <si>
    <t xml:space="preserve">KIT POP 3.2 (110,58M²) TELHA VERMELHA  MT R                                                                             </t>
  </si>
  <si>
    <t xml:space="preserve">KIT POP 3.4 (126,07M²) ASSOALHO                                                                                         </t>
  </si>
  <si>
    <t xml:space="preserve">KIT POP 3.4 (154,00M²)  R                                                                                               </t>
  </si>
  <si>
    <t xml:space="preserve">KIT POP 3.4 (154,00M²) FORRO EXTERNO                                                                                    </t>
  </si>
  <si>
    <t xml:space="preserve">KIT POP 3.4 (154,00M²) PAREDE DUPLA                                                                                     </t>
  </si>
  <si>
    <t xml:space="preserve">KIT POP 3.4 (154,00M²) STAIN IMPREGNANTE                                                                                </t>
  </si>
  <si>
    <t xml:space="preserve">KIT POP 3.4 (154,00M²) TELHA VERDE R                                                                                    </t>
  </si>
  <si>
    <t xml:space="preserve">KIT POP 3.4 (154,00M²) TELHA VERMELHA R                                                                                 </t>
  </si>
  <si>
    <t xml:space="preserve">KIT POP 3.5 (87,10M²)                                                                                                   </t>
  </si>
  <si>
    <t xml:space="preserve">KIT POP 3.5 (87,10M²) FORRO EXTERNO                                                                                     </t>
  </si>
  <si>
    <t xml:space="preserve">KIT POP 3.5 (87,10M²) STAIN IMPREGNANTE                                                                                 </t>
  </si>
  <si>
    <t xml:space="preserve">KIT POP 3.5 (87,10M²) TELHA VERDE MT R                                                                                  </t>
  </si>
  <si>
    <t xml:space="preserve">KIT POP 3.5 (87,10M²) TELHA VERMELHA MT R                                                                               </t>
  </si>
  <si>
    <t xml:space="preserve">KIT POP 4.0 ( 84,20M²)                                                                                                  </t>
  </si>
  <si>
    <t xml:space="preserve">KIT POP 4.0 (84,20 M²) ASSOALHO                                                                                         </t>
  </si>
  <si>
    <t xml:space="preserve">KIT POP 4.0 (84,20M²) FORRO EXTERNO                                                                                     </t>
  </si>
  <si>
    <t xml:space="preserve">KIT POP 4.0 (84,20M²) PAREDE DUPLA                                                                                      </t>
  </si>
  <si>
    <t xml:space="preserve">KIT POP 4.0 (84,20M²) STAIN IMPREGNANTE                                                                                 </t>
  </si>
  <si>
    <t xml:space="preserve">KIT POP 4.0 (84,20M²) TELHA VERDE R                                                                                     </t>
  </si>
  <si>
    <t xml:space="preserve">KIT POP 4.0 (84,20M²) TELHA VERMELHA R                                                                                  </t>
  </si>
  <si>
    <t xml:space="preserve">KIT POP 4.1 (79,99M²) ASSOALHO                                                                                          </t>
  </si>
  <si>
    <t xml:space="preserve">KIT POP 4.1 (79,99M²) FORRO EXTERNO                                                                                     </t>
  </si>
  <si>
    <t xml:space="preserve">KIT POP 4.1 (79,99M²) PAREDE DUPLA                                                                                      </t>
  </si>
  <si>
    <t xml:space="preserve">KIT POP 4.1 (79,99M²) R                                                                                                 </t>
  </si>
  <si>
    <t xml:space="preserve">KIT POP 4.1 (79,99M²) STAIN IMPREGNANTE                                                                                 </t>
  </si>
  <si>
    <t xml:space="preserve">KIT POP 4.1 (79,99M²) TELHA VERDE  MT R                                                                                 </t>
  </si>
  <si>
    <t xml:space="preserve">KIT POP 4.1 (79,99M²) TELHA VERMELHA  MT R                                                                              </t>
  </si>
  <si>
    <t xml:space="preserve">KIT POP 6.0 (323,33M²)                                                                                                  </t>
  </si>
  <si>
    <t xml:space="preserve">KIT POP 6.0 (323,33M²) ASSOALHO                                                                                         </t>
  </si>
  <si>
    <t xml:space="preserve">KIT POP 6.0 (323,33M²) FORRO EXTERNO                                                                                    </t>
  </si>
  <si>
    <t xml:space="preserve">KIT POP 6.0 (323,33M²) PAREDE DUPLA                                                                                     </t>
  </si>
  <si>
    <t xml:space="preserve">KIT POP 6.0 (323,33M²) STAIN IMPREGNANTE                                                                                </t>
  </si>
  <si>
    <t xml:space="preserve">KIT POP 6.0 (323,33M²) TELHA VERDE R                                                                                    </t>
  </si>
  <si>
    <t xml:space="preserve">KIT POP 6.0 (323,33M²) TELHA VERMELHA R                                                                                 </t>
  </si>
  <si>
    <t xml:space="preserve">KIT POP BALSAS (80M²)                                                                                                   </t>
  </si>
  <si>
    <t xml:space="preserve">KIT POP BALSAS (80M²) STAIN IMPREGNANTE                                                                                 </t>
  </si>
  <si>
    <t xml:space="preserve">KIT POP BALSAS (80M²) TELHA VERDE                                                                                       </t>
  </si>
  <si>
    <t xml:space="preserve">KIT POP BALSAS (80M²) TELHA VERMELHA                                                                                    </t>
  </si>
  <si>
    <t xml:space="preserve">KIT POP CANANEIA (72,64M²) ASSOALHO                                                                                     </t>
  </si>
  <si>
    <t xml:space="preserve">KIT POP CANANEIA (72,64M²) PAREDE DUPLA                                                                                 </t>
  </si>
  <si>
    <t xml:space="preserve">KIT POP CANANEIA (72,64M²) R                                                                                            </t>
  </si>
  <si>
    <t xml:space="preserve">KIT POP CANANEIA (72,64M²) STAIN IMPREGNANTE                                                                            </t>
  </si>
  <si>
    <t xml:space="preserve">KIT POP CANANEIA (72,64M²) TELHA VERDE MT R                                                                             </t>
  </si>
  <si>
    <t xml:space="preserve">KIT POP CANANEIA (72,64M²) TELHA VERMELHA MT R                                                                          </t>
  </si>
  <si>
    <t xml:space="preserve">KIT POP COLMEIA 90M² PAREDE DUPLA                                                                                       </t>
  </si>
  <si>
    <t xml:space="preserve">KIT POP COLMEIA 90M² STAIN IMPREGNATE                                                                                   </t>
  </si>
  <si>
    <t xml:space="preserve">KIT POP COLMEIA 90M² TELHA VERDE                                                                                        </t>
  </si>
  <si>
    <t xml:space="preserve">KIT POP COLMEIA 90M² TELHA VERMELHA                                                                                     </t>
  </si>
  <si>
    <t xml:space="preserve">KIT POP DIAMANTINA 1 (106,95M²)                                                                                         </t>
  </si>
  <si>
    <t xml:space="preserve">KIT POP DIAMANTINA 1 (106,95M²) ASSOALHO                                                                                </t>
  </si>
  <si>
    <t xml:space="preserve">KIT POP DIAMANTINA 1 (106,95M²) FORRO EXTERNO                                                                           </t>
  </si>
  <si>
    <t xml:space="preserve">KIT POP DIAMANTINA 1 (106,95M²) PAREDE DUPLA                                                                            </t>
  </si>
  <si>
    <t xml:space="preserve">KIT POP DIAMANTINA 1 (106,95M²) STAIN IMPREGNANTE                                                                       </t>
  </si>
  <si>
    <t xml:space="preserve">KIT POP DIAMANTINA 1 (106,95M²) TELHA VERDE                                                                             </t>
  </si>
  <si>
    <t xml:space="preserve">KIT POP DIAMANTINA 1 (106,95M²) TELHA VERMELHA                                                                          </t>
  </si>
  <si>
    <t xml:space="preserve">KIT POP LOJA DOMINGOS 21M² STAIN IMPREG                                                                                 </t>
  </si>
  <si>
    <t xml:space="preserve">KIT PORTAO  4 METROS                                                                                                    </t>
  </si>
  <si>
    <t xml:space="preserve">KIT PORTAO  4 METROS TELHA VERMELHA                                                                                     </t>
  </si>
  <si>
    <t xml:space="preserve">KIT PORTO ALEGRE (86M²)                                                                                                 </t>
  </si>
  <si>
    <t xml:space="preserve">KIT PORTO ALEGRE (86M²) PAREDE DUPLA                                                                                    </t>
  </si>
  <si>
    <t xml:space="preserve">KIT PORTO ALEGRE (86M²) STAIN IMPREGNANTE                                                                               </t>
  </si>
  <si>
    <t xml:space="preserve">KIT PORTO ALEGRE (86M²) TELHA VERDE                                                                                     </t>
  </si>
  <si>
    <t xml:space="preserve">KIT PORTO ALEGRE (86M²) TELHA VERMELHA                                                                                  </t>
  </si>
  <si>
    <t xml:space="preserve">KIT POUSADA 1.12 (22,53M²)                                                                                              </t>
  </si>
  <si>
    <t xml:space="preserve">KIT POUSADA 1.12 (22,53M²) ASSOALHO                                                                                     </t>
  </si>
  <si>
    <t xml:space="preserve">KIT POUSADA 1.12 (22,53M²) STAIN IMPREGNANTE                                                                            </t>
  </si>
  <si>
    <t xml:space="preserve">KIT POUSADA 1.12 (22,53M²) TELHA VERDE                                                                                  </t>
  </si>
  <si>
    <t xml:space="preserve">KIT POUSADA 1.12 (22,53M²) TELHA VERMELHA                                                                               </t>
  </si>
  <si>
    <t xml:space="preserve">KIT POUSADA 1.12 (22.53M²) PAREDE DUPLA                                                                                 </t>
  </si>
  <si>
    <t xml:space="preserve">KIT POUSADA 1.2 (26,75M²)                                                                                               </t>
  </si>
  <si>
    <t xml:space="preserve">KIT POUSADA 1.2 (26,75M²) ASSOALHO                                                                                      </t>
  </si>
  <si>
    <t xml:space="preserve">KIT POUSADA 1.2 (26,75M²) FORRO EXTERNO                                                                                 </t>
  </si>
  <si>
    <t xml:space="preserve">KIT POUSADA 1.2 (26,75M²) PAREDE DUPLA                                                                                  </t>
  </si>
  <si>
    <t xml:space="preserve">KIT POUSADA 1.2 (26,75M²) STAIN IMPREGNANTE                                                                             </t>
  </si>
  <si>
    <t xml:space="preserve">KIT POUSADA 1.2 (26,75M²) TELHA VERDE                                                                                   </t>
  </si>
  <si>
    <t xml:space="preserve">KIT POUSADA 1.2 (26,75M²) TELHA VERMELHA                                                                                </t>
  </si>
  <si>
    <t xml:space="preserve">KIT POUSADA 5 (218,00M²)                                                                                                </t>
  </si>
  <si>
    <t xml:space="preserve">KIT POUSADA 5 (218,00M²) PAREDE DUPLA                                                                                   </t>
  </si>
  <si>
    <t xml:space="preserve">KIT POUSADA 5 (218,00M²) STAIN IMPREGNANTE                                                                              </t>
  </si>
  <si>
    <t xml:space="preserve">KIT POUSADA 5 (218,00M²) TELHA VERDE                                                                                    </t>
  </si>
  <si>
    <t xml:space="preserve">KIT POUSADA 5 (218,00M²) TELHA VERMELHA                                                                                 </t>
  </si>
  <si>
    <t xml:space="preserve">KIT POUSADA 7 (294,37M²)                                                                                                </t>
  </si>
  <si>
    <t xml:space="preserve">KIT POUSADA 7 (294,37M²) FORRO EXTERNO                                                                                  </t>
  </si>
  <si>
    <t xml:space="preserve">KIT POUSADA 7 (294,37M²) PAREDE DUPLA                                                                                   </t>
  </si>
  <si>
    <t xml:space="preserve">KIT POUSADA 7 (294,37M²) STAIN IMPREGNANTE                                                                              </t>
  </si>
  <si>
    <t xml:space="preserve">KIT POUSADA 7 (294,37M²) TELHA VERDE                                                                                    </t>
  </si>
  <si>
    <t xml:space="preserve">KIT POUSADA 7 (294,37M²) TELHA VERMELHA                                                                                 </t>
  </si>
  <si>
    <t xml:space="preserve">KIT POUSADA CELEIRO 1.0 (20,00M²)                                                                                       </t>
  </si>
  <si>
    <t xml:space="preserve">KIT POUSADA CELEIRO 1.0 (20,00M²) FORRO EXTERNO                                                                         </t>
  </si>
  <si>
    <t xml:space="preserve">KIT POUSADA CELEIRO 1.0 (20,00M²) PAREDE DUPLA                                                                          </t>
  </si>
  <si>
    <t xml:space="preserve">KIT POUSADA CELEIRO 1.0 (20,00M²) STAIN IMPREGNANTE                                                                     </t>
  </si>
  <si>
    <t xml:space="preserve">KIT POUSADA CELEIRO 1.0 (20,00M²) TELHA VERDE MT R                                                                      </t>
  </si>
  <si>
    <t xml:space="preserve">KIT POUSADA CELEIRO 1.0 (20,00M²) TELHA VERMELHA MT R                                                                   </t>
  </si>
  <si>
    <t xml:space="preserve">KIT POUSADA PARANAPANEMA ( 94,26M² ) TELHA VERDE                                                                        </t>
  </si>
  <si>
    <t xml:space="preserve">KIT POUSADA PARANAPANEMA (94,26M²)                                                                                      </t>
  </si>
  <si>
    <t xml:space="preserve">KIT POUSADA PARANAPANEMA (94,26M²) PAREDE DUPLA                                                                         </t>
  </si>
  <si>
    <t xml:space="preserve">KIT POUSADA PARANAPANEMA (94,26M²) STAIN IMPREGNANTE                                                                    </t>
  </si>
  <si>
    <t xml:space="preserve">KIT POUSADA PARANAPANEMA (94,26M²) TELHA VERMELHA                                                                       </t>
  </si>
  <si>
    <t xml:space="preserve">KIT POUSADA PIPOCA (61,92M²)                                                                                            </t>
  </si>
  <si>
    <t xml:space="preserve">KIT POUSADA PIPOCA (61,92M²) ASSOALHO                                                                                   </t>
  </si>
  <si>
    <t xml:space="preserve">KIT POUSADA PIPOCA (61,92M²) FORRO EXTERNO                                                                              </t>
  </si>
  <si>
    <t xml:space="preserve">KIT POUSADA PIPOCA (61,92M²) PAREDE DUPLA                                                                               </t>
  </si>
  <si>
    <t xml:space="preserve">KIT POUSADA PIPOCA (61,92M²) STAIN IMPREGNANTE                                                                          </t>
  </si>
  <si>
    <t xml:space="preserve">KIT POUSADA PIPOCA (61,92M²) TELHA VERDE                                                                                </t>
  </si>
  <si>
    <t xml:space="preserve">KIT POUSADA PIPOCA (61,92M²) TELHA VERMELHA                                                                             </t>
  </si>
  <si>
    <t xml:space="preserve">KIT POUSADA POP 1.0 (15M² ) R                                                                                           </t>
  </si>
  <si>
    <t xml:space="preserve">KIT POUSADA POP 1.0 (15M²) ASSOALHO                                                                                     </t>
  </si>
  <si>
    <t xml:space="preserve">KIT POUSADA POP 1.0 (15M²) FORRO EXTERNO                                                                                </t>
  </si>
  <si>
    <t xml:space="preserve">KIT POUSADA POP 1.0 (15M²) PAREDE DUPLA                                                                                 </t>
  </si>
  <si>
    <t xml:space="preserve">KIT POUSADA POP 1.0 (15M²) STAIN IMPREGNANTE                                                                            </t>
  </si>
  <si>
    <t xml:space="preserve">KIT POUSADA POP 1.0 (15M²) TELHA VERDE R                                                                                </t>
  </si>
  <si>
    <t xml:space="preserve">KIT POUSADA POP 1.0 (15M²) TELHA VERMELHA R                                                                             </t>
  </si>
  <si>
    <t xml:space="preserve">KIT POUSADA POP 1.1 (22,57M²) ASSOALHO                                                                                  </t>
  </si>
  <si>
    <t xml:space="preserve">KIT POUSADA POP 1.1 (22,57M²) FORRO EXTERNO                                                                             </t>
  </si>
  <si>
    <t xml:space="preserve">KIT POUSADA POP 1.1 (22,57M²) PAREDE DUPLA                                                                              </t>
  </si>
  <si>
    <t xml:space="preserve">KIT POUSADA POP 1.1 (22,57M²) R                                                                                         </t>
  </si>
  <si>
    <t xml:space="preserve">KIT POUSADA POP 1.1 (22,57M²) STAIN IMPREGNANTE                                                                         </t>
  </si>
  <si>
    <t xml:space="preserve">KIT POUSADA POP 1.1 (22,57M²) TELHA VERDE R                                                                             </t>
  </si>
  <si>
    <t xml:space="preserve">KIT POUSADA POP 1.1 (22,57M²) TELHA VERMELHA R                                                                          </t>
  </si>
  <si>
    <t xml:space="preserve">KIT POUSADA POP 1.10 (24M²) ASSOALHO                                                                                    </t>
  </si>
  <si>
    <t xml:space="preserve">KIT POUSADA POP 1.10 (24M²) PAREDE DUPLA                                                                                </t>
  </si>
  <si>
    <t xml:space="preserve">KIT POUSADA POP 1.10 (24M²) R                                                                                           </t>
  </si>
  <si>
    <t xml:space="preserve">KIT POUSADA POP 1.10 (24M²) STAIN IMPREGNANTE                                                                           </t>
  </si>
  <si>
    <t xml:space="preserve">KIT POUSADA POP 1.10 (24M²) TELHA VERDE MT R                                                                            </t>
  </si>
  <si>
    <t xml:space="preserve">KIT POUSADA POP 1.10 (24M²) TELHA VERMELHA MT R                                                                         </t>
  </si>
  <si>
    <t xml:space="preserve">KIT POUSADA POP 1.11 (111M²)                                                                                            </t>
  </si>
  <si>
    <t xml:space="preserve">KIT POUSADA POP 1.11 (111M²) ASSOALHO                                                                                   </t>
  </si>
  <si>
    <t xml:space="preserve">KIT POUSADA POP 1.11 (111M²) PAREDE DUPLA                                                                               </t>
  </si>
  <si>
    <t xml:space="preserve">KIT POUSADA POP 1.11 (111M²) STAIN IMPREGNANTE                                                                          </t>
  </si>
  <si>
    <t xml:space="preserve">KIT POUSADA POP 1.11 (111M²) TELHA VERDE R                                                                              </t>
  </si>
  <si>
    <t xml:space="preserve">KIT POUSADA POP 1.11 (111M²) TELHA VERMELHA R                                                                           </t>
  </si>
  <si>
    <t xml:space="preserve">KIT POUSADA POP 1.12 63,16M² STAIN                                                                                      </t>
  </si>
  <si>
    <t xml:space="preserve">KIT POUSADA POP 1.12 63,16M² TELHA VERDE R                                                                              </t>
  </si>
  <si>
    <t xml:space="preserve">KIT POUSADA POP 1.12 63.16M² TELHA VERMELHA R                                                                           </t>
  </si>
  <si>
    <t xml:space="preserve">KIT POUSADA POP 1.14 (38,97M²)                                                                                          </t>
  </si>
  <si>
    <t xml:space="preserve">KIT POUSADA POP 1.14 (38,97M²) ASSOALHO                                                                                 </t>
  </si>
  <si>
    <t xml:space="preserve">KIT POUSADA POP 1.14 (38,97M²) FORRO EXTERNO                                                                            </t>
  </si>
  <si>
    <t xml:space="preserve">KIT POUSADA POP 1.14 (38,97M²) PAREDE DUPLA                                                                             </t>
  </si>
  <si>
    <t xml:space="preserve">KIT POUSADA POP 1.14 (38,97M²) STAIN IMPREGNANTE                                                                        </t>
  </si>
  <si>
    <t xml:space="preserve">KIT POUSADA POP 1.14 (38,97M²) TELHA VERDE R                                                                            </t>
  </si>
  <si>
    <t xml:space="preserve">KIT POUSADA POP 1.14 (38,97M²) TELHA VERMELHA R                                                                         </t>
  </si>
  <si>
    <t xml:space="preserve">KIT POUSADA POP 1.15 (19,21M²)                                                                                          </t>
  </si>
  <si>
    <t xml:space="preserve">KIT POUSADA POP 1.15 (19,21M²) FORRO EXTERNO                                                                            </t>
  </si>
  <si>
    <t xml:space="preserve">KIT POUSADA POP 1.15 (19,21M²) PAREDE DUPLA                                                                             </t>
  </si>
  <si>
    <t xml:space="preserve">KIT POUSADA POP 1.15 (19,21M²) STAIN IMPREGNANTE                                                                        </t>
  </si>
  <si>
    <t xml:space="preserve">KIT POUSADA POP 1.15 (19,21M²) TELHA VERDE MT R                                                                         </t>
  </si>
  <si>
    <t xml:space="preserve">KIT POUSADA POP 1.15 (19,21M²) TELHA VERMELHA MT R                                                                      </t>
  </si>
  <si>
    <t xml:space="preserve">KIT POUSADA POP 1.16 (38,50M²)                                                                                          </t>
  </si>
  <si>
    <t xml:space="preserve">KIT POUSADA POP 1.16 (38,50M²) PAREDE DUPLA                                                                             </t>
  </si>
  <si>
    <t xml:space="preserve">KIT POUSADA POP 1.16 (38,50M²) STAIN IMPREGNANTE                                                                        </t>
  </si>
  <si>
    <t xml:space="preserve">KIT POUSADA POP 1.16 (38,50M²) TELHA VERDE MT R                                                                         </t>
  </si>
  <si>
    <t xml:space="preserve">KIT POUSADA POP 1.16 (38,50M²) TELHA VERMELHA MT R                                                                      </t>
  </si>
  <si>
    <t xml:space="preserve">KIT POUSADA POP 1.17 (32,50M²)                                                                                          </t>
  </si>
  <si>
    <t xml:space="preserve">KIT POUSADA POP 1.17 (32,50M²) PAREDE DUPLA                                                                             </t>
  </si>
  <si>
    <t xml:space="preserve">KIT POUSADA POP 1.17 (32,50M²) STAIN IMPREGNANTE                                                                        </t>
  </si>
  <si>
    <t xml:space="preserve">KIT POUSADA POP 1.17 (32,50M²) TELHA VERDE MT R                                                                         </t>
  </si>
  <si>
    <t xml:space="preserve">KIT POUSADA POP 1.17 (32,50M²) TELHA VERMELHA MT R                                                                      </t>
  </si>
  <si>
    <t xml:space="preserve">KIT POUSADA POP 1.17 (32,5M²) ASSOALHO                                                                                  </t>
  </si>
  <si>
    <t xml:space="preserve">KIT POUSADA POP 1.18 (68,12 M²)                                                                                         </t>
  </si>
  <si>
    <t xml:space="preserve">KIT POUSADA POP 1.18 (68,12 M²) FORRO EXTERNO                                                                           </t>
  </si>
  <si>
    <t xml:space="preserve">KIT POUSADA POP 1.18 (68,12 M²) PAREDE DUPLA                                                                            </t>
  </si>
  <si>
    <t xml:space="preserve">KIT POUSADA POP 1.18 (68,12 M²) STAIN IMPREGNANTE                                                                       </t>
  </si>
  <si>
    <t xml:space="preserve">KIT POUSADA POP 1.18 (68,12 M²) TELHA VERDE MT R                                                                        </t>
  </si>
  <si>
    <t xml:space="preserve">KIT POUSADA POP 1.18 (68,12 M²) TELHA VERMELHA MT R                                                                     </t>
  </si>
  <si>
    <t xml:space="preserve">KIT POUSADA POP 1.19 (68,51 M²)                                                                                         </t>
  </si>
  <si>
    <t xml:space="preserve">KIT POUSADA POP 1.19 (68,51 M²) STAIN IMPREGNANTE                                                                       </t>
  </si>
  <si>
    <t xml:space="preserve">KIT POUSADA POP 1.19 (68,51 M²) TELHA VERDE MT                                                                          </t>
  </si>
  <si>
    <t xml:space="preserve">KIT POUSADA POP 1.19 (68,51 M²) TELHA VERMELHA MT                                                                       </t>
  </si>
  <si>
    <t xml:space="preserve">KIT POUSADA POP 1.2 (26,05M²)                                                                                           </t>
  </si>
  <si>
    <t xml:space="preserve">KIT POUSADA POP 1.2 (26,05M²) PAREDE DUPLA                                                                              </t>
  </si>
  <si>
    <t xml:space="preserve">KIT POUSADA POP 1.2 (26,05M²) STAIN IMPREGNANTE                                                                         </t>
  </si>
  <si>
    <t xml:space="preserve">KIT POUSADA POP 1.2 (26,05M²) TELHA VERDE                                                                               </t>
  </si>
  <si>
    <t xml:space="preserve">KIT POUSADA POP 1.2 (26,05M²) TELHA VERMELHA                                                                            </t>
  </si>
  <si>
    <t xml:space="preserve">KIT POUSADA POP 1.3 (32,81M²)  FORRO EXTERNO                                                                            </t>
  </si>
  <si>
    <t xml:space="preserve">KIT POUSADA POP 1.3 (32,81M²)  STAIN IMPREGNANTE                                                                        </t>
  </si>
  <si>
    <t xml:space="preserve">KIT POUSADA POP 1.3 (32,81M²) PAREDE DUPLA                                                                              </t>
  </si>
  <si>
    <t xml:space="preserve">KIT POUSADA POP 1.3 (32,81M²) R                                                                                         </t>
  </si>
  <si>
    <t xml:space="preserve">KIT POUSADA POP 1.3 (32,81M²) TELHA VERDE MT R                                                                          </t>
  </si>
  <si>
    <t xml:space="preserve">KIT POUSADA POP 1.3 (32,81M²) TELHA VERMELHA MT R                                                                       </t>
  </si>
  <si>
    <t xml:space="preserve">KIT POUSADA POP 1.4 (24M²)                                                                                              </t>
  </si>
  <si>
    <t xml:space="preserve">KIT POUSADA POP 1.4 (24M²) ASSOALHO                                                                                     </t>
  </si>
  <si>
    <t xml:space="preserve">KIT POUSADA POP 1.4 (24M²) FORRO EXTERNO                                                                                </t>
  </si>
  <si>
    <t xml:space="preserve">KIT POUSADA POP 1.4 (24M²) PAREDE DUPLA                                                                                 </t>
  </si>
  <si>
    <t xml:space="preserve">KIT POUSADA POP 1.4 (24M²) STAIN IMPREGNANTE                                                                            </t>
  </si>
  <si>
    <t xml:space="preserve">KIT POUSADA POP 1.4 (24M²) TELHA VERDE MT R                                                                             </t>
  </si>
  <si>
    <t xml:space="preserve">KIT POUSADA POP 1.4 (24M²) TELHA VERMELHA MT R                                                                          </t>
  </si>
  <si>
    <t xml:space="preserve">KIT POUSADA POP 1.5 (19,50M²) ASSOALHO                                                                                  </t>
  </si>
  <si>
    <t xml:space="preserve">KIT POUSADA POP 1.5 (19,50M²) FORRO EXTERNO                                                                             </t>
  </si>
  <si>
    <t xml:space="preserve">KIT POUSADA POP 1.5 (19,50M²) PAREDE DUPLA                                                                              </t>
  </si>
  <si>
    <t xml:space="preserve">KIT POUSADA POP 1.5 (19,50M²) R                                                                                         </t>
  </si>
  <si>
    <t xml:space="preserve">KIT POUSADA POP 1.5 (19,50M²) STAIN IMPREGNANTE                                                                         </t>
  </si>
  <si>
    <t xml:space="preserve">KIT POUSADA POP 1.5 (19,50M²) TELHA VERDE  MT R                                                                         </t>
  </si>
  <si>
    <t xml:space="preserve">KIT POUSADA POP 1.5 (19,50M²) TELHA VERMELHA MT R                                                                       </t>
  </si>
  <si>
    <t xml:space="preserve">KIT POUSADA POP 1.6 (61,25M²)                                                                                           </t>
  </si>
  <si>
    <t xml:space="preserve">KIT POUSADA POP 1.6 (61,25M²) ASSOALHO                                                                                  </t>
  </si>
  <si>
    <t xml:space="preserve">KIT POUSADA POP 1.6 (61,25M²) FORRO EXTERNO                                                                             </t>
  </si>
  <si>
    <t xml:space="preserve">KIT POUSADA POP 1.6 (61,25M²) PAREDE DUPLA                                                                              </t>
  </si>
  <si>
    <t xml:space="preserve">KIT POUSADA POP 1.6 (61,25M²) STAIN IMPREGNANTE                                                                         </t>
  </si>
  <si>
    <t xml:space="preserve">KIT POUSADA POP 1.6 (61,25M²) TELHA VERDE R                                                                             </t>
  </si>
  <si>
    <t xml:space="preserve">KIT POUSADA POP 1.6 (61,25M²) TELHA VERMELHA R                                                                          </t>
  </si>
  <si>
    <t xml:space="preserve">KIT POUSADA POP 1.7 (38M²)                                                                                              </t>
  </si>
  <si>
    <t xml:space="preserve">KIT POUSADA POP 1.7 (38M²) PAREDE DUPLA                                                                                 </t>
  </si>
  <si>
    <t xml:space="preserve">KIT POUSADA POP 1.7 (38M²) STAIN IMPREGNANTE                                                                            </t>
  </si>
  <si>
    <t xml:space="preserve">KIT POUSADA POP 1.7 (38M²) TELHA VERDE R                                                                                </t>
  </si>
  <si>
    <t xml:space="preserve">KIT POUSADA POP 1.7 (38M²) TELHA VERMELHA R                                                                             </t>
  </si>
  <si>
    <t xml:space="preserve">KIT POUSADA POP 1.8 (32M²) ASSOALHO                                                                                     </t>
  </si>
  <si>
    <t xml:space="preserve">KIT POUSADA POP 1.8 (32M²) PAREDE DUPLA                                                                                 </t>
  </si>
  <si>
    <t xml:space="preserve">KIT POUSADA POP 1.8 (32M²) R                                                                                            </t>
  </si>
  <si>
    <t xml:space="preserve">KIT POUSADA POP 1.8 (32M²) STAIN IMPREGNANTE                                                                            </t>
  </si>
  <si>
    <t xml:space="preserve">KIT POUSADA POP 1.8 (32M²) TELHA VERDE R                                                                                </t>
  </si>
  <si>
    <t xml:space="preserve">KIT POUSADA POP 1.8 (32M²) TELHA VERMELHA R                                                                             </t>
  </si>
  <si>
    <t xml:space="preserve">KIT POUSADA POP 1.9 9,90M² STAIN IMPREGNANTE                                                                            </t>
  </si>
  <si>
    <t xml:space="preserve">KIT POUSADA POP 1.9 9,90M² TELHA VERDE R                                                                                </t>
  </si>
  <si>
    <t xml:space="preserve">KIT POUSADA POP 1.9 9,90M² TELHA VERMELHA R                                                                             </t>
  </si>
  <si>
    <t xml:space="preserve">KIT POUSADA POP 11 (159,12M²)                                                                                           </t>
  </si>
  <si>
    <t xml:space="preserve">KIT POUSADA POP 11 (159,12M²) ASSOALHO                                                                                  </t>
  </si>
  <si>
    <t xml:space="preserve">KIT POUSADA POP 11 (159,12M²) PAREDE DUPLA                                                                              </t>
  </si>
  <si>
    <t xml:space="preserve">KIT POUSADA POP 11 (159,12M²) STAIN IMPREGNANTE                                                                         </t>
  </si>
  <si>
    <t xml:space="preserve">KIT POUSADA POP 11 (159,12M²) TELHA VERDE R                                                                             </t>
  </si>
  <si>
    <t xml:space="preserve">KIT POUSADA POP 11 (159,12M²) TELHA VERMELHA R                                                                          </t>
  </si>
  <si>
    <t xml:space="preserve">KIT POUSADA POP 18.0 329,03M²                                                                                           </t>
  </si>
  <si>
    <t xml:space="preserve">KIT POUSADA POP 18.0 329,03M² PAREDE DUPLA                                                                              </t>
  </si>
  <si>
    <t xml:space="preserve">KIT POUSADA POP 18.0 329,03M² STAIN IMPREGNANTE                                                                         </t>
  </si>
  <si>
    <t xml:space="preserve">KIT POUSADA POP 18.0 329,03M² TELHA VERDE R                                                                             </t>
  </si>
  <si>
    <t xml:space="preserve">KIT POUSADA POP 18.0 329,03M² TELHA VERMELHA R                                                                          </t>
  </si>
  <si>
    <t xml:space="preserve">KIT POUSADA POP 2.0 (86,42M²)                                                                                           </t>
  </si>
  <si>
    <t xml:space="preserve">KIT POUSADA POP 2.0 (86,42M²) ASSOALHO                                                                                  </t>
  </si>
  <si>
    <t xml:space="preserve">KIT POUSADA POP 2.0 (86,42M²) PAREDE DUPLA                                                                              </t>
  </si>
  <si>
    <t xml:space="preserve">KIT POUSADA POP 2.0 (86,42M²) STAIN IMPREGNANTE                                                                         </t>
  </si>
  <si>
    <t xml:space="preserve">KIT POUSADA POP 2.0 (86,42M²) TELHA VERDE  MT                                                                           </t>
  </si>
  <si>
    <t xml:space="preserve">KIT POUSADA POP 2.0 (86,42M²) TELHA VERMELHA  MT                                                                        </t>
  </si>
  <si>
    <t xml:space="preserve">KIT POUSADA POP 2.1 (106,60M²) ASSOALHO                                                                                 </t>
  </si>
  <si>
    <t xml:space="preserve">KIT POUSADA POP 2.1 (106,60M²) R                                                                                        </t>
  </si>
  <si>
    <t xml:space="preserve">KIT POUSADA POP 2.1 (106,60M²) STAIN IMPREGNANTE REVISADO                                                               </t>
  </si>
  <si>
    <t xml:space="preserve">KIT POUSADA POP 2.1 (106,60M²) TELHA VERDE COM MANTA R                                                                  </t>
  </si>
  <si>
    <t xml:space="preserve">KIT POUSADA POP 2.1 (106,60M²) TELHA VERMELHA COM MANTA R                                                               </t>
  </si>
  <si>
    <t xml:space="preserve">KIT POUSADA POP 2.1(106,60M²) PAREDE DUPLA REVISADO                                                                     </t>
  </si>
  <si>
    <t xml:space="preserve">KIT POUSADA POP 2.2 (70,02 M²) PAREDE DUPLA                                                                             </t>
  </si>
  <si>
    <t xml:space="preserve">KIT POUSADA POP 2.2 (70,02 M²) STAIN IMPREGNANTE                                                                        </t>
  </si>
  <si>
    <t xml:space="preserve">KIT POUSADA POP 2.2 (70,02 M²) TELHA VERDE MT R                                                                         </t>
  </si>
  <si>
    <t xml:space="preserve">KIT POUSADA POP 2.2 (70,02 M²) TELHA VERMELHA MT R                                                                      </t>
  </si>
  <si>
    <t xml:space="preserve">KIT POUSADA POP 2.2 (70,02M²)                                                                                           </t>
  </si>
  <si>
    <t xml:space="preserve">KIT POUSADA POP 2.3 (77,44 M²)                                                                                          </t>
  </si>
  <si>
    <t xml:space="preserve">KIT POUSADA POP 2.3 (77,44 M²) KIT PAREDE DUPLA                                                                         </t>
  </si>
  <si>
    <t xml:space="preserve">KIT POUSADA POP 2.3 (77,44 M²) STAIN IMPREGNANTE                                                                        </t>
  </si>
  <si>
    <t xml:space="preserve">KIT POUSADA POP 2.3 (77,44 M²) TELHA VERDE MT R                                                                         </t>
  </si>
  <si>
    <t xml:space="preserve">KIT POUSADA POP 2.3 (77,44 M²) TELHA VERMELHA MT R                                                                      </t>
  </si>
  <si>
    <t xml:space="preserve">KIT POUSADA POP 3.0 (119,25M²)                                                                                          </t>
  </si>
  <si>
    <t xml:space="preserve">KIT POUSADA POP 3.0 (119,25M²) STAIN IMPREGNANTE                                                                        </t>
  </si>
  <si>
    <t xml:space="preserve">KIT POUSADA POP 3.0 (119,25M²) TELHA PRETA MT R                                                                         </t>
  </si>
  <si>
    <t xml:space="preserve">KIT POUSADA POP 3.0 (119,25M²) TELHA VERDE MT R                                                                         </t>
  </si>
  <si>
    <t xml:space="preserve">KIT POUSADA POP 3.0 (119,25M²) TELHA VERMELHA MT R                                                                      </t>
  </si>
  <si>
    <t xml:space="preserve">KIT POUSADA POP 3.1 (130,08M²)                                                                                          </t>
  </si>
  <si>
    <t xml:space="preserve">KIT POUSADA POP 3.1 (130,08M²) STAIN IMPREGNANTE                                                                        </t>
  </si>
  <si>
    <t xml:space="preserve">KIT POUSADA POP 3.1 (130,08M²) TELHA VERDE R                                                                            </t>
  </si>
  <si>
    <t xml:space="preserve">KIT POUSADA POP 3.1 (130,08M²) TELHA VERMELHA R                                                                         </t>
  </si>
  <si>
    <t xml:space="preserve">KIT POUSADA POP CAMPOS DO JORDAO (138,97M²)                                                                             </t>
  </si>
  <si>
    <t xml:space="preserve">KIT POUSADA POP CAMPOS DO JORDAO (138,97M²) PAREDE DUPLA                                                                </t>
  </si>
  <si>
    <t xml:space="preserve">KIT POUSADA POP CAMPOS DO JORDAO (138,97M²) STAIN IMPREGNANTE                                                           </t>
  </si>
  <si>
    <t xml:space="preserve">KIT POUSADA POP CAMPOS DO JORDAO (138,97M²) TELHA VERDE                                                                 </t>
  </si>
  <si>
    <t xml:space="preserve">KIT POUSADA POP CAMPOS DO JORDAO (138,97M²) TELHA VERMELHA                                                              </t>
  </si>
  <si>
    <t xml:space="preserve">KIT PS RANCHO QUEIMADO (137,17M²)                                                                                       </t>
  </si>
  <si>
    <t xml:space="preserve">KIT PS RANCHO QUEIMADO (137,17M²) PAREDE DUPLA                                                                          </t>
  </si>
  <si>
    <t xml:space="preserve">KIT PS RANCHO QUEIMADO (137,17M²) STAIN IMPREGNANTE                                                                     </t>
  </si>
  <si>
    <t xml:space="preserve">KIT PS RANCHO QUEIMADO (137,17M²) TELHA VERDE                                                                           </t>
  </si>
  <si>
    <t xml:space="preserve">KIT PS RANCHO QUEIMADO (137,17M²) TELHA VERMELHA                                                                        </t>
  </si>
  <si>
    <t xml:space="preserve">KIT QUIOSQUE (11,84 M²)                                                                                                 </t>
  </si>
  <si>
    <t xml:space="preserve">KIT QUIOSQUE (11,84 M²) STAIN IMPREGNANTE                                                                               </t>
  </si>
  <si>
    <t xml:space="preserve">KIT QUIOSQUE SALGADERIA (6,00M²)                                                                                        </t>
  </si>
  <si>
    <t xml:space="preserve">KIT QUIOSQUE SALGADERIA (6,00M²) STAIN IMPREGNANTE                                                                      </t>
  </si>
  <si>
    <t xml:space="preserve">KIT QUIOSQUE SALGADERIA (6,00M²) TELHA VERDE MT                                                                         </t>
  </si>
  <si>
    <t xml:space="preserve">KIT QUIOSQUE SALGADERIA (6,00M²) TELHA VERMELHA MT                                                                      </t>
  </si>
  <si>
    <t xml:space="preserve">KIT RIO DOS CEDROS (83,53M2) STAIN IMPREGNANTE                                                                          </t>
  </si>
  <si>
    <t xml:space="preserve">KIT RIO DOS CEDROS (83,53M²)                                                                                            </t>
  </si>
  <si>
    <t xml:space="preserve">KIT RIO DOS CEDROS (83,53M²) ASSOALHO                                                                                   </t>
  </si>
  <si>
    <t xml:space="preserve">KIT RIO DOS CEDROS (83,53M²) RIO DOS CEDROS                                                                             </t>
  </si>
  <si>
    <t xml:space="preserve">KIT RIO DOS CEDROS (83,53M²) TELHA VERMELHA                                                                             </t>
  </si>
  <si>
    <t xml:space="preserve">KIT SALA COMERCIAL (52,05M²)                                                                                            </t>
  </si>
  <si>
    <t xml:space="preserve">KIT SALA COMERCIAL (52,05M²) PAREDE DUPLA                                                                               </t>
  </si>
  <si>
    <t xml:space="preserve">KIT SALA COMERCIAL (52,05M²) STAIN IMPREGNANTE                                                                          </t>
  </si>
  <si>
    <t xml:space="preserve">KIT SALA COMERCIAL (52,05M²) TELHA VERDE MT R                                                                           </t>
  </si>
  <si>
    <t xml:space="preserve">KIT SALA COMERCIAL (52,05M²) TELHA VERMELHA MT R                                                                        </t>
  </si>
  <si>
    <t xml:space="preserve">KIT SALVADOR (153M²)                                                                                                    </t>
  </si>
  <si>
    <t xml:space="preserve">KIT SALVADOR (153M²) PAREDE DUPLA                                                                                       </t>
  </si>
  <si>
    <t xml:space="preserve">KIT SALVADOR (153M²) STAIN IMPREGNANTE                                                                                  </t>
  </si>
  <si>
    <t xml:space="preserve">KIT SALVADOR (153M²) TELHA VERDE                                                                                        </t>
  </si>
  <si>
    <t xml:space="preserve">KIT SALVADOR (153M²) TELHA VERMELHA                                                                                     </t>
  </si>
  <si>
    <t xml:space="preserve">KIT SAO FRANCISCO 125,30M²  ASSOALHO                                                                                    </t>
  </si>
  <si>
    <t xml:space="preserve">KIT SAO FRANCISCO 125,30M² PAREDE DUPLA                                                                                 </t>
  </si>
  <si>
    <t xml:space="preserve">KIT SAO FRANCISCO 125,30M² STAIN IMPREGNANTE                                                                            </t>
  </si>
  <si>
    <t xml:space="preserve">KIT SAO FRANCISCO 125,30M² TELHA VERDE                                                                                  </t>
  </si>
  <si>
    <t xml:space="preserve">KIT SAO FRANCISCO 125,30M² TELHA VERMELHA                                                                               </t>
  </si>
  <si>
    <t xml:space="preserve">KIT SOROCABA (207,62M²)                                                                                                 </t>
  </si>
  <si>
    <t xml:space="preserve">KIT SOROCABA (207,62M²) PAREDE DUPLA                                                                                    </t>
  </si>
  <si>
    <t xml:space="preserve">KIT SOROCABA (207,62M²) STAIN IMPREGNANTE                                                                               </t>
  </si>
  <si>
    <t xml:space="preserve">KIT SOROCABA (207,62M²) TELHA VERDE                                                                                     </t>
  </si>
  <si>
    <t xml:space="preserve">KIT SOROCABA (207,62M²) TELHA VERMELHA                                                                                  </t>
  </si>
  <si>
    <t xml:space="preserve">KIT STUDIO MODULAR (30,24M²) COM PERGOLADO R                                                                            </t>
  </si>
  <si>
    <t xml:space="preserve">KIT STUDIO MODULAR 1 (13,89M²)                                                                                          </t>
  </si>
  <si>
    <t xml:space="preserve">KIT STUDIO MODULAR 1 (25,8M²) SEM PERGOLADO                                                                             </t>
  </si>
  <si>
    <t xml:space="preserve">KIT SUPER POP 1 (22,57M²) ASSOALHO                                                                                      </t>
  </si>
  <si>
    <t xml:space="preserve">KIT SUPER POP 1 (22,57M²) FORRO EXTERNO                                                                                 </t>
  </si>
  <si>
    <t xml:space="preserve">KIT SUPER POP 1 (22,57M²) PAREDE DUPLA                                                                                  </t>
  </si>
  <si>
    <t xml:space="preserve">KIT SUPER POP 1 (22,57M²) R                                                                                             </t>
  </si>
  <si>
    <t xml:space="preserve">KIT SUPER POP 1 (22,57M²) STAIN IMPREGNANTE                                                                             </t>
  </si>
  <si>
    <t xml:space="preserve">KIT SUPER POP 1 (22,57M²) TELHA VERDE MT R                                                                              </t>
  </si>
  <si>
    <t xml:space="preserve">KIT SUPER POP 1 (22,57M²) TELHA VERMELHA MT R                                                                           </t>
  </si>
  <si>
    <t xml:space="preserve">KIT SUPER POP 2 (33,28M²)                                                                                               </t>
  </si>
  <si>
    <t xml:space="preserve">KIT SUPER POP 2 (33,28M²) ASSOALHO                                                                                      </t>
  </si>
  <si>
    <t xml:space="preserve">KIT SUPER POP 2 (33,28M²) FORRO EXTERNO                                                                                 </t>
  </si>
  <si>
    <t xml:space="preserve">KIT SUPER POP 2 (33,28M²) PAREDE DUPLA                                                                                  </t>
  </si>
  <si>
    <t xml:space="preserve">KIT SUPER POP 2 (33,28M²) STAIN IMPREGNANTE                                                                             </t>
  </si>
  <si>
    <t xml:space="preserve">KIT SUPER POP 2 (33,28M²) TELHA VERDE R                                                                                 </t>
  </si>
  <si>
    <t xml:space="preserve">KIT SUPER POP 2 (33,28M²) TELHA VERMELHA R                                                                              </t>
  </si>
  <si>
    <t xml:space="preserve">KIT SUPER POP 3 (47,48M²) ASSOALHO                                                                                      </t>
  </si>
  <si>
    <t xml:space="preserve">KIT SUPER POP 3 (47,48M²) FORRO EXTERNO                                                                                 </t>
  </si>
  <si>
    <t xml:space="preserve">KIT SUPER POP 3 (47,48M²) PAREDE DUPLA                                                                                  </t>
  </si>
  <si>
    <t xml:space="preserve">KIT SUPER POP 3 (47,48M²) R                                                                                             </t>
  </si>
  <si>
    <t xml:space="preserve">KIT SUPER POP 3 (47,48M²) STAIN IMPREGNANTE                                                                             </t>
  </si>
  <si>
    <t xml:space="preserve">KIT SUPER POP 3 (47,48M²) TELHA VERDE MT R                                                                              </t>
  </si>
  <si>
    <t xml:space="preserve">KIT SUPER POP 3 (47,48M²) TELHA VERMELHA MT R                                                                           </t>
  </si>
  <si>
    <t xml:space="preserve">KIT TIJUCAS II (107,27M²)                                                                                               </t>
  </si>
  <si>
    <t xml:space="preserve">KIT TIJUCAS II (107,27M²) PAREDE DUPLA                                                                                  </t>
  </si>
  <si>
    <t xml:space="preserve">KIT TIJUCAS II (107,27M²) STAIN IMPREGNANTE                                                                             </t>
  </si>
  <si>
    <t xml:space="preserve">KIT TIJUCAS II (107,27M²) TELHA VERDE                                                                                   </t>
  </si>
  <si>
    <t xml:space="preserve">KIT TIJUCAS II (107,27M²) TELHA VERMELHA                                                                                </t>
  </si>
  <si>
    <t xml:space="preserve">KIT TIJUCAS III (148,88M²)                                                                                              </t>
  </si>
  <si>
    <t xml:space="preserve">KIT TIJUCAS III (148,88M²) PAREDE DUPLA                                                                                 </t>
  </si>
  <si>
    <t xml:space="preserve">KIT TIJUCAS III (148,88M²) STAIN IMPREGNANTE                                                                            </t>
  </si>
  <si>
    <t xml:space="preserve">KIT TIJUCAS III (148,88M²) TELHA VERDE                                                                                  </t>
  </si>
  <si>
    <t xml:space="preserve">KIT TIJUCAS III (148,88M²) TELHA VERMELHA                                                                               </t>
  </si>
  <si>
    <t xml:space="preserve">KIT TIJUCAS IV (167,63M²) PAREDE DUPLA                                                                                  </t>
  </si>
  <si>
    <t xml:space="preserve">KIT TINY HOUSE (15M²)                                                                                                   </t>
  </si>
  <si>
    <t xml:space="preserve">KIT TINY HOUSE (15M²) ASSOALHO                                                                                          </t>
  </si>
  <si>
    <t xml:space="preserve">KIT TINY HOUSE (15M²) PAREDE DUPLA                                                                                      </t>
  </si>
  <si>
    <t xml:space="preserve">KIT TINY HOUSE (15M²) STAIN IMPREGNANTE                                                                                 </t>
  </si>
  <si>
    <t xml:space="preserve">KIT TINY HOUSE (15M²) TELHA VERDE                                                                                       </t>
  </si>
  <si>
    <t xml:space="preserve">KIT TINY HOUSE (15M²) TELHA VERMELHA                                                                                    </t>
  </si>
  <si>
    <t xml:space="preserve">KIT TINY HOUSE (16M²)  R                                                                                                </t>
  </si>
  <si>
    <t xml:space="preserve">KIT TINY HOUSE (16M²) ASSOALHO                                                                                          </t>
  </si>
  <si>
    <t xml:space="preserve">KIT TINY HOUSE (16M²) FORRO EXTERNO                                                                                     </t>
  </si>
  <si>
    <t xml:space="preserve">KIT TINY HOUSE (16M²) PAREDE DUPLA                                                                                      </t>
  </si>
  <si>
    <t xml:space="preserve">KIT TINY HOUSE (16M²) STAIN IMPREG                                                                                      </t>
  </si>
  <si>
    <t xml:space="preserve">KIT TINY HOUSE (16M²) TELHA VERDE R                                                                                     </t>
  </si>
  <si>
    <t xml:space="preserve">KIT TINY HOUSE (16M²) TELHA VERMELHA R                                                                                  </t>
  </si>
  <si>
    <t xml:space="preserve">KIT TINY HOUSE (17,84M²)                                                                                                </t>
  </si>
  <si>
    <t xml:space="preserve">KIT TINY HOUSE (17,84M²) ASSOALHO                                                                                       </t>
  </si>
  <si>
    <t xml:space="preserve">KIT TINY HOUSE (17,84M²) FORRO EXTERNO                                                                                  </t>
  </si>
  <si>
    <t xml:space="preserve">KIT TINY HOUSE (17,84M²) PAREDE DUPLA                                                                                   </t>
  </si>
  <si>
    <t xml:space="preserve">KIT TINY HOUSE (17,84M²) STAIN IMPREGNANTE                                                                              </t>
  </si>
  <si>
    <t xml:space="preserve">KIT TINY HOUSE (17,84M²) TELHA VERDE R                                                                                  </t>
  </si>
  <si>
    <t xml:space="preserve">KIT TINY HOUSE (17,84M²) TELHA VERMELHA R                                                                               </t>
  </si>
  <si>
    <t xml:space="preserve">KIT TINY HOUSE (18M²)                                                                                                   </t>
  </si>
  <si>
    <t xml:space="preserve">KIT TINY HOUSE (18M²) STAIN IMPREGNANTE                                                                                 </t>
  </si>
  <si>
    <t xml:space="preserve">KIT TINY HOUSE (18M²) TELHA VERDE                                                                                       </t>
  </si>
  <si>
    <t xml:space="preserve">KIT TINY HOUSE (18M²) TELHA VERMELHA                                                                                    </t>
  </si>
  <si>
    <t xml:space="preserve">KIT TINY HOUSE TH03 27M² ASSOALHO                                                                                       </t>
  </si>
  <si>
    <t xml:space="preserve">KIT TINY HOUSE TH03 27M² PAREDE DUPLA                                                                                   </t>
  </si>
  <si>
    <t xml:space="preserve">KIT TINY HOUSE TH03 27M² STAIN IMPREGNANTE                                                                              </t>
  </si>
  <si>
    <t xml:space="preserve">KIT TINY HOUSE TH03 27M² TELHA VERDE                                                                                    </t>
  </si>
  <si>
    <t xml:space="preserve">KIT TINY HOUSE TH03 27M² TELHA VERMELHA                                                                                 </t>
  </si>
  <si>
    <t xml:space="preserve">KIT TINY HOUSE TH05 (9M²)  TELHA VERMELHA                                                                               </t>
  </si>
  <si>
    <t xml:space="preserve">KIT TINY HOUSE TH05 (9M²) PAREDE DUPLA                                                                                  </t>
  </si>
  <si>
    <t xml:space="preserve">KIT TINY HOUSE TH05 (9M²) STAIN IMPREGNANTE                                                                             </t>
  </si>
  <si>
    <t xml:space="preserve">KIT TINY HOUSE TH05 (9M²) TELHA VERDE                                                                                   </t>
  </si>
  <si>
    <t xml:space="preserve">KIT TINY HOUSE TH1.1 (21,00M²) PAREDE DUPLA                                                                             </t>
  </si>
  <si>
    <t xml:space="preserve">KIT TINY HOUSE TH1.1 (21,00M²) R                                                                                        </t>
  </si>
  <si>
    <t xml:space="preserve">KIT TINY HOUSE TH1.1 (21,00M²) STAIN IMPREGNANTE                                                                        </t>
  </si>
  <si>
    <t xml:space="preserve">KIT TINY HOUSE TH1.1 (21,00M²) TELHA VERDE MT  R                                                                        </t>
  </si>
  <si>
    <t xml:space="preserve">KIT TINY HOUSE TH1.1 (21,00M²) TELHA VERMELHA MT R                                                                      </t>
  </si>
  <si>
    <t xml:space="preserve">KIT TOTEM MINHA CASA PRE FABRICADA                                                                                      </t>
  </si>
  <si>
    <t xml:space="preserve">KIT UBATUBA 24,45M²  STAIN IMPREG (PERSONALIZADO)                                                                       </t>
  </si>
  <si>
    <t xml:space="preserve">KIT UBATUBA 24,45M² (PERSONALIZADO )                                                                                    </t>
  </si>
  <si>
    <t xml:space="preserve">KIT UBATUBA 24,45M² ASSOALHO (PERSONALIZADO)                                                                            </t>
  </si>
  <si>
    <t xml:space="preserve">KIT UBATUBA 24,45M² PAREDE DUPLA (PERSONALIZADO)                                                                        </t>
  </si>
  <si>
    <t xml:space="preserve">KIT UBATUBA 24,45M² TELHA VERDE(PERSONALIZADO)                                                                          </t>
  </si>
  <si>
    <t xml:space="preserve">KIT UBATUBA 24,45M² TELHA VERMELHA(PERSONALIZADO)                                                                       </t>
  </si>
  <si>
    <t xml:space="preserve">KIT UBATUBA 75,19M² PAREDE DUPLA                                                                                        </t>
  </si>
  <si>
    <t xml:space="preserve">KIT UBATUBA 75,19M² STAIN IMPREG                                                                                        </t>
  </si>
  <si>
    <t xml:space="preserve">KIT UBATUBA 75,19M² TELHA VERDE                                                                                         </t>
  </si>
  <si>
    <t xml:space="preserve">KIT UBATUBA 75,19M² TELHA VERMELHA                                                                                      </t>
  </si>
  <si>
    <t xml:space="preserve">KIT WFP 1 (50,40M²)                                                                                                     </t>
  </si>
  <si>
    <t xml:space="preserve">KIT WFP 1 (50,40M²) TELHA PRETA MT                                                                                      </t>
  </si>
  <si>
    <t xml:space="preserve">KIT WFP 1 (50,40M²) TELHA VERDE MT                                                                                      </t>
  </si>
  <si>
    <t xml:space="preserve">KIT WFP 1 (50,40M²) TELHA VERMELHA MT                                                                                   </t>
  </si>
  <si>
    <t xml:space="preserve">LAPIS                                                                                                                   </t>
  </si>
  <si>
    <t xml:space="preserve">MADEIRAMENTO A-FRAME 1 51,77M²                                                                                          </t>
  </si>
  <si>
    <t xml:space="preserve">MADEIRAMENTO GALPAO CELEIRO 99,96M²                                                                                     </t>
  </si>
  <si>
    <t xml:space="preserve">MADEIRAMENTO PD DOURADOS 119,60M²                                                                                       </t>
  </si>
  <si>
    <t xml:space="preserve">MADEIRAMENTO PD PIRASSUNUNGA 120,30M²                                                                                   </t>
  </si>
  <si>
    <t xml:space="preserve">MADEIRAMENTO POP 1.0 36,75M²                                                                                            </t>
  </si>
  <si>
    <t xml:space="preserve">MADEIRAMENTO POP 1.10 54,85M²                                                                                           </t>
  </si>
  <si>
    <t xml:space="preserve">MADEIRAMENTO POP 2.5 62,42M²                                                                                            </t>
  </si>
  <si>
    <t xml:space="preserve">MADEIRAMENTO POP 2.8 71,96M²                                                                                            </t>
  </si>
  <si>
    <t xml:space="preserve">MADEIRAMENTO POP 3.2 (110,58M²)                                                                                         </t>
  </si>
  <si>
    <t xml:space="preserve">MADEIRAMENTO POUSADA POP 1.0 15M²                                                                                       </t>
  </si>
  <si>
    <t xml:space="preserve">MADEIRAMENTO POUSADA POP 1.1 22,57M²                                                                                    </t>
  </si>
  <si>
    <t xml:space="preserve">MADEIRAMENTO POUSADA POP 1.8 32M²                                                                                       </t>
  </si>
  <si>
    <t xml:space="preserve">MADEIRAMENTO POUSADA POP 2.1 106,60M²                                                                                   </t>
  </si>
  <si>
    <t xml:space="preserve">MAO DE OBRA (A-FRAME)                                                                                                   </t>
  </si>
  <si>
    <t xml:space="preserve">MAO DE OBRA (CASA DE PLACA CIMENTICIA)                                                                                  </t>
  </si>
  <si>
    <t xml:space="preserve">MAO DE OBRA CASA MODULAR                                                                                                </t>
  </si>
  <si>
    <t xml:space="preserve">MATERIAL MCPF  POUSADA POP 2.1 (106.60 M²)  R                                                                           </t>
  </si>
  <si>
    <t xml:space="preserve">MATERIAL MCPF (POUSADA POP 1.8 32,40M²)                                                                                 </t>
  </si>
  <si>
    <t xml:space="preserve">MATERIAL MCPF KIT POP 1.0 (36,75 M²)                                                                                    </t>
  </si>
  <si>
    <t xml:space="preserve">MATERIAL MCPF KIT POP 2.2 (52,5 M² )                                                                                    </t>
  </si>
  <si>
    <t xml:space="preserve">MATERIAL MCPF KIT POUSADA POP 1.14                                                                                      </t>
  </si>
  <si>
    <t xml:space="preserve">MATERIAL MCPF MODELO A-FRAME  2 (28,98 M²)                                                                              </t>
  </si>
  <si>
    <t xml:space="preserve">MATERIAL MCPF MODELO A-FRAME 1 (54,17 M²)                                                                               </t>
  </si>
  <si>
    <t>FRETE</t>
  </si>
  <si>
    <t>PR.CUSTO+FRETE</t>
  </si>
  <si>
    <t>AREA</t>
  </si>
  <si>
    <t xml:space="preserve">KIT A-FRAME 4 (61,52M²)                                                                                                   </t>
  </si>
  <si>
    <t xml:space="preserve">KIT A-FRAME 4 (61,52M²) STAIN IMPREGNANTE                                                                                 </t>
  </si>
  <si>
    <t xml:space="preserve">KIT A-FRAME 5 (37,10M²)                                                                                                  </t>
  </si>
  <si>
    <t xml:space="preserve">KIT BLUMENAU (42,00M²)                                                                                                  </t>
  </si>
  <si>
    <t xml:space="preserve">KIT CAMPING 1 DE (05,00M²) 2,00LX2,50CX1,50A R                                                                                </t>
  </si>
  <si>
    <t xml:space="preserve">KIT CAMPING 2 DE (05,00M²)  2,00LX2,50CX2,00A   R                                                                             </t>
  </si>
  <si>
    <t xml:space="preserve">KIT CAMPING 3 DE (06,25M²) 2,50LX2,50CX2,80A R                                                                             </t>
  </si>
  <si>
    <t xml:space="preserve">KIT CASA DE BONECA (09,00M²)                                                                                                  </t>
  </si>
  <si>
    <t xml:space="preserve">KIT CRICIUMA I (85,00M²)                                                                                                   </t>
  </si>
  <si>
    <t xml:space="preserve">KIT CURITIBA (165,00M²)                                                                                                    </t>
  </si>
  <si>
    <t xml:space="preserve">KIT CURITIBA (165,00M²) PAREDE DUPLA                                                                                       </t>
  </si>
  <si>
    <t xml:space="preserve">KIT PD MATO GROSSO DO SUL (288,0M²) FORRO EXTERNO                                                                         </t>
  </si>
  <si>
    <t xml:space="preserve">KIT PD TABULEIRO (30,5M²)                                                                                               </t>
  </si>
  <si>
    <t xml:space="preserve">KIT POP 1.5 (30,00M²)                                                                                                      </t>
  </si>
  <si>
    <t xml:space="preserve">KIT POP 1.6 (36,00M²)                                                                                                      </t>
  </si>
  <si>
    <t xml:space="preserve">KIT POP 1.9 (42,00M²)                                                                                                      </t>
  </si>
  <si>
    <t xml:space="preserve">KIT POP 2.14 (66,55M²)                                                                                                    </t>
  </si>
  <si>
    <t xml:space="preserve">KIT POP 2.15 (100,00M² )                                                                                                  </t>
  </si>
  <si>
    <t xml:space="preserve">KIT POP 2.7 (98,25M²)                                                                                                     </t>
  </si>
  <si>
    <t xml:space="preserve">KIT POP COLMEIA (90,00M²)                                                                                                  </t>
  </si>
  <si>
    <t xml:space="preserve">KIT POP LOJA DOMINGOS (21,00M²)                                                                                              </t>
  </si>
  <si>
    <t xml:space="preserve">KIT POUSADA BARRIL (33,70M²)                                                                                              </t>
  </si>
  <si>
    <t xml:space="preserve">KIT POUSADA POP 1.0 (15,00M²)                                                                                                </t>
  </si>
  <si>
    <t xml:space="preserve">KIT POUSADA POP 1.12 (63,16M²)                                                                                            </t>
  </si>
  <si>
    <t xml:space="preserve">KIT POUSADA POP 1.9 (9,90M²) R                                                                                            </t>
  </si>
  <si>
    <t xml:space="preserve">KIT SAO FRANCISCO (125,30M²)                                                                                              </t>
  </si>
  <si>
    <t xml:space="preserve">KIT TINY HOUSE TH03 (27,00M²)                                                                                                </t>
  </si>
  <si>
    <t xml:space="preserve">KIT TINY HOUSE TH05 (9,0M²)                                                                                               </t>
  </si>
  <si>
    <t xml:space="preserve">KIT UBATUBA (75,19M²)                                                                                                     </t>
  </si>
  <si>
    <t>PRECO_CUSTO</t>
  </si>
  <si>
    <t>A VISTA</t>
  </si>
  <si>
    <t>LINK_KIT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</si>
</sst>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7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2" fontId="0" fillId="0" borderId="0" xfId="0" applyNumberFormat="1"/>
    <xf numFmtId="167" fontId="0" fillId="0" borderId="1" xfId="1" applyFont="1" applyBorder="1"/>
    <xf numFmtId="167" fontId="0" fillId="0" borderId="1" xfId="1" applyFont="1" applyBorder="1"/>
    <xf numFmtId="0" fontId="0" fillId="0" borderId="1" xfId="0" applyBorder="1"/>
    <xf numFmtId="0" fontId="0" fillId="0" borderId="2" xfId="0" applyBorder="1"/>
  </cellXfs>
  <cellStyles count="2">
    <cellStyle name="Moeda 2" xfId="1" xr:uid="{3B3313D0-985A-4E70-A97E-0DFE30029224}"/>
    <cellStyle name="Normal" xfId="0" builtinId="0"/>
  </cellStyles>
  <dxfs count="7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F0B65D-43AF-4DDF-A551-F4F10ADD84FF}" name="Tabela1" displayName="Tabela1" ref="A1:I954" totalsRowShown="0">
  <autoFilter ref="A1:I954" xr:uid="{03F0B65D-43AF-4DDF-A551-F4F10ADD84FF}"/>
  <tableColumns count="9">
    <tableColumn id="1" xr3:uid="{86DA18C7-5A6C-4932-9990-2504E0A51C5B}" name="CODIGO"/>
    <tableColumn id="2" xr3:uid="{1A470373-69DC-45D1-A471-096BCF1AFF7C}" name="DESCRICAO"/>
    <tableColumn id="8" xr3:uid="{03AE17C1-5AFB-49BA-8E4E-38FDE4FCDB66}" name="AREA" dataDxfId="6">
      <calculatedColumnFormula>IFERROR(MID(B2,FIND("(",B2)+1,4),"")</calculatedColumnFormula>
    </tableColumn>
    <tableColumn id="3" xr3:uid="{A93BCDCE-C786-4048-9C20-1FC2B6A68EF6}" name="PESO UND" dataDxfId="5"/>
    <tableColumn id="4" xr3:uid="{03393C86-3E36-40D3-B049-761094809D6B}" name="PR.CUSTO+FRETE" dataDxfId="4"/>
    <tableColumn id="7" xr3:uid="{75ABE20E-2154-4B08-A127-B53A06EB2244}" name="PRECO_CUSTO" dataDxfId="3">
      <calculatedColumnFormula>Tabela1[[#This Row],[PR.CUSTO+FRETE]]-Tabela1[[#This Row],[FRETE]]</calculatedColumnFormula>
    </tableColumn>
    <tableColumn id="5" xr3:uid="{265C7721-F3DA-414C-AE85-FBCD5E4AB6C3}" name="A VISTA" dataDxfId="2"/>
    <tableColumn id="6" xr3:uid="{90347397-3271-4279-9CD0-65FA73A21DF2}" name="FRETE" dataDxfId="1">
      <calculatedColumnFormula>Tabela1[[#This Row],[PESO UND]]/1000*(1129)</calculatedColumnFormula>
    </tableColumn>
    <tableColumn id="9" xr3:uid="{81715E77-68B0-41CD-869B-B9A3B3E61509}" name="LINK_K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AAF5-9F6D-48C9-9C9A-FA56D4217B3E}">
  <dimension ref="A1:J954"/>
  <sheetViews>
    <sheetView tabSelected="1" topLeftCell="C1" workbookViewId="0">
      <selection activeCell="F2" sqref="F2"/>
    </sheetView>
  </sheetViews>
  <sheetFormatPr defaultRowHeight="15" x14ac:dyDescent="0.25"/>
  <cols>
    <col min="1" max="1" width="10.42578125" customWidth="1"/>
    <col min="2" max="2" width="52.85546875" customWidth="1"/>
    <col min="3" max="3" width="16.7109375" customWidth="1"/>
    <col min="4" max="4" width="14.7109375" customWidth="1"/>
    <col min="5" max="5" width="18.7109375" customWidth="1"/>
    <col min="6" max="6" width="18.42578125" customWidth="1"/>
    <col min="7" max="7" width="14.28515625" customWidth="1"/>
    <col min="8" max="8" width="12" customWidth="1"/>
    <col min="9" max="9" width="19" customWidth="1"/>
  </cols>
  <sheetData>
    <row r="1" spans="1:10" x14ac:dyDescent="0.25">
      <c r="A1" t="s">
        <v>0</v>
      </c>
      <c r="B1" t="s">
        <v>1</v>
      </c>
      <c r="C1" t="s">
        <v>929</v>
      </c>
      <c r="D1" s="2" t="s">
        <v>2</v>
      </c>
      <c r="E1" s="1" t="s">
        <v>928</v>
      </c>
      <c r="F1" s="3" t="s">
        <v>959</v>
      </c>
      <c r="G1" s="4" t="s">
        <v>960</v>
      </c>
      <c r="H1" s="5" t="s">
        <v>927</v>
      </c>
      <c r="I1" s="6" t="s">
        <v>961</v>
      </c>
    </row>
    <row r="2" spans="1:10" x14ac:dyDescent="0.25">
      <c r="A2">
        <v>764</v>
      </c>
      <c r="B2" t="s">
        <v>3</v>
      </c>
      <c r="C2" t="str">
        <f t="shared" ref="C2:C65" si="0">IFERROR(MID(B2,FIND("(",B2)+1,4),"")</f>
        <v>51,7</v>
      </c>
      <c r="D2" s="2">
        <v>4319.1400000000003</v>
      </c>
      <c r="E2" s="1">
        <v>26853.68</v>
      </c>
      <c r="F2" s="1">
        <f>Tabela1[[#This Row],[PR.CUSTO+FRETE]]-Tabela1[[#This Row],[FRETE]]</f>
        <v>21977.370940000001</v>
      </c>
      <c r="G2" s="1">
        <v>45823.58</v>
      </c>
      <c r="H2" s="1">
        <f>Tabela1[[#This Row],[PESO UND]]/1000*(1129)</f>
        <v>4876.3090599999996</v>
      </c>
      <c r="I2" s="1"/>
      <c r="J2" t="str" cm="1">
        <f t="array" aca="1" ref="J2" ca="1">IFERROR(ARRANCAR(B2,FIND("(",B2)+1,FIND(")",B2)-FIND("(",B2)-1),"")</f>
        <v/>
      </c>
    </row>
    <row r="3" spans="1:10" x14ac:dyDescent="0.25">
      <c r="A3">
        <v>767</v>
      </c>
      <c r="B3" t="s">
        <v>4</v>
      </c>
      <c r="C3" t="str">
        <f t="shared" si="0"/>
        <v>51,7</v>
      </c>
      <c r="D3" s="2">
        <v>33.75</v>
      </c>
      <c r="E3" s="1">
        <v>1473.33</v>
      </c>
      <c r="F3" s="1">
        <f>Tabela1[[#This Row],[PR.CUSTO+FRETE]]-Tabela1[[#This Row],[FRETE]]</f>
        <v>1435.2262499999999</v>
      </c>
      <c r="G3" s="1">
        <v>2265.67</v>
      </c>
      <c r="H3" s="1">
        <f>Tabela1[[#This Row],[PESO UND]]/1000*(1129)</f>
        <v>38.103750000000005</v>
      </c>
      <c r="I3" s="1"/>
    </row>
    <row r="4" spans="1:10" x14ac:dyDescent="0.25">
      <c r="A4">
        <v>766</v>
      </c>
      <c r="B4" t="s">
        <v>5</v>
      </c>
      <c r="C4" t="str">
        <f t="shared" si="0"/>
        <v>51,7</v>
      </c>
      <c r="D4" s="2">
        <v>417.9</v>
      </c>
      <c r="E4" s="1">
        <v>7852.55</v>
      </c>
      <c r="F4" s="1">
        <f>Tabela1[[#This Row],[PR.CUSTO+FRETE]]-Tabela1[[#This Row],[FRETE]]</f>
        <v>7380.7408999999998</v>
      </c>
      <c r="G4" s="1">
        <v>11651.03</v>
      </c>
      <c r="H4" s="1">
        <f>Tabela1[[#This Row],[PESO UND]]/1000*(1129)</f>
        <v>471.8091</v>
      </c>
      <c r="I4" s="1"/>
    </row>
    <row r="5" spans="1:10" x14ac:dyDescent="0.25">
      <c r="A5">
        <v>765</v>
      </c>
      <c r="B5" t="s">
        <v>6</v>
      </c>
      <c r="C5" t="str">
        <f t="shared" si="0"/>
        <v>51,7</v>
      </c>
      <c r="D5" s="2">
        <v>371.9</v>
      </c>
      <c r="E5" s="1">
        <v>7564.35</v>
      </c>
      <c r="F5" s="1">
        <f>Tabela1[[#This Row],[PR.CUSTO+FRETE]]-Tabela1[[#This Row],[FRETE]]</f>
        <v>7144.4749000000002</v>
      </c>
      <c r="G5" s="1">
        <v>11198.76</v>
      </c>
      <c r="H5" s="1">
        <f>Tabela1[[#This Row],[PESO UND]]/1000*(1129)</f>
        <v>419.87509999999997</v>
      </c>
      <c r="I5" s="1"/>
    </row>
    <row r="6" spans="1:10" x14ac:dyDescent="0.25">
      <c r="A6">
        <v>1163</v>
      </c>
      <c r="B6" t="s">
        <v>7</v>
      </c>
      <c r="C6" t="str">
        <f t="shared" si="0"/>
        <v>46,8</v>
      </c>
      <c r="D6" s="2">
        <v>5553.88</v>
      </c>
      <c r="E6" s="1">
        <v>31640.16</v>
      </c>
      <c r="F6" s="1">
        <f>Tabela1[[#This Row],[PR.CUSTO+FRETE]]-Tabela1[[#This Row],[FRETE]]</f>
        <v>25369.82948</v>
      </c>
      <c r="G6" s="1">
        <v>53199.51</v>
      </c>
      <c r="H6" s="1">
        <f>Tabela1[[#This Row],[PESO UND]]/1000*(1129)</f>
        <v>6270.3305200000004</v>
      </c>
      <c r="I6" s="1"/>
    </row>
    <row r="7" spans="1:10" x14ac:dyDescent="0.25">
      <c r="A7">
        <v>1166</v>
      </c>
      <c r="B7" t="s">
        <v>8</v>
      </c>
      <c r="C7" t="str">
        <f t="shared" si="0"/>
        <v>46,8</v>
      </c>
      <c r="D7" s="2">
        <v>36</v>
      </c>
      <c r="E7" s="1">
        <v>1737.54</v>
      </c>
      <c r="F7" s="1">
        <f>Tabela1[[#This Row],[PR.CUSTO+FRETE]]-Tabela1[[#This Row],[FRETE]]</f>
        <v>1696.896</v>
      </c>
      <c r="G7" s="1">
        <v>2678.74</v>
      </c>
      <c r="H7" s="1">
        <f>Tabela1[[#This Row],[PESO UND]]/1000*(1129)</f>
        <v>40.643999999999998</v>
      </c>
      <c r="I7" s="1"/>
    </row>
    <row r="8" spans="1:10" x14ac:dyDescent="0.25">
      <c r="A8">
        <v>1165</v>
      </c>
      <c r="B8" t="s">
        <v>9</v>
      </c>
      <c r="C8" t="str">
        <f t="shared" si="0"/>
        <v>46,8</v>
      </c>
      <c r="D8" s="2">
        <v>387.1</v>
      </c>
      <c r="E8" s="1">
        <v>8072</v>
      </c>
      <c r="F8" s="1">
        <f>Tabela1[[#This Row],[PR.CUSTO+FRETE]]-Tabela1[[#This Row],[FRETE]]</f>
        <v>7634.9641000000001</v>
      </c>
      <c r="G8" s="1">
        <v>11977.47</v>
      </c>
      <c r="H8" s="1">
        <f>Tabela1[[#This Row],[PESO UND]]/1000*(1129)</f>
        <v>437.03590000000003</v>
      </c>
      <c r="I8" s="1"/>
    </row>
    <row r="9" spans="1:10" x14ac:dyDescent="0.25">
      <c r="A9">
        <v>1164</v>
      </c>
      <c r="B9" t="s">
        <v>10</v>
      </c>
      <c r="C9" t="str">
        <f t="shared" si="0"/>
        <v>46,8</v>
      </c>
      <c r="D9" s="2">
        <v>387.1</v>
      </c>
      <c r="E9" s="1">
        <v>7799.19</v>
      </c>
      <c r="F9" s="1">
        <f>Tabela1[[#This Row],[PR.CUSTO+FRETE]]-Tabela1[[#This Row],[FRETE]]</f>
        <v>7362.1540999999997</v>
      </c>
      <c r="G9" s="1">
        <v>11546.82</v>
      </c>
      <c r="H9" s="1">
        <f>Tabela1[[#This Row],[PESO UND]]/1000*(1129)</f>
        <v>437.03590000000003</v>
      </c>
      <c r="I9" s="1"/>
    </row>
    <row r="10" spans="1:10" x14ac:dyDescent="0.25">
      <c r="A10">
        <v>804</v>
      </c>
      <c r="B10" t="s">
        <v>11</v>
      </c>
      <c r="C10" t="str">
        <f t="shared" si="0"/>
        <v>28,9</v>
      </c>
      <c r="D10" s="2">
        <v>26.25</v>
      </c>
      <c r="E10" s="1">
        <v>1145.93</v>
      </c>
      <c r="F10" s="1">
        <f>Tabela1[[#This Row],[PR.CUSTO+FRETE]]-Tabela1[[#This Row],[FRETE]]</f>
        <v>1116.29375</v>
      </c>
      <c r="G10" s="1">
        <v>1762.19</v>
      </c>
      <c r="H10" s="1">
        <f>Tabela1[[#This Row],[PESO UND]]/1000*(1129)</f>
        <v>29.63625</v>
      </c>
      <c r="I10" s="1"/>
    </row>
    <row r="11" spans="1:10" x14ac:dyDescent="0.25">
      <c r="A11">
        <v>803</v>
      </c>
      <c r="B11" t="s">
        <v>12</v>
      </c>
      <c r="C11" t="str">
        <f t="shared" si="0"/>
        <v>28,9</v>
      </c>
      <c r="D11" s="2">
        <v>268.2</v>
      </c>
      <c r="E11" s="1">
        <v>5622.65</v>
      </c>
      <c r="F11" s="1">
        <f>Tabela1[[#This Row],[PR.CUSTO+FRETE]]-Tabela1[[#This Row],[FRETE]]</f>
        <v>5319.8521999999994</v>
      </c>
      <c r="G11" s="1">
        <v>8346.9699999999993</v>
      </c>
      <c r="H11" s="1">
        <f>Tabela1[[#This Row],[PESO UND]]/1000*(1129)</f>
        <v>302.7978</v>
      </c>
      <c r="I11" s="1"/>
    </row>
    <row r="12" spans="1:10" x14ac:dyDescent="0.25">
      <c r="A12">
        <v>801</v>
      </c>
      <c r="B12" t="s">
        <v>13</v>
      </c>
      <c r="C12" t="str">
        <f t="shared" si="0"/>
        <v>28,9</v>
      </c>
      <c r="D12" s="2">
        <v>3242.23</v>
      </c>
      <c r="E12" s="1">
        <v>18654.150000000001</v>
      </c>
      <c r="F12" s="1">
        <f>Tabela1[[#This Row],[PR.CUSTO+FRETE]]-Tabela1[[#This Row],[FRETE]]</f>
        <v>14993.672330000001</v>
      </c>
      <c r="G12" s="1">
        <v>31454.44</v>
      </c>
      <c r="H12" s="1">
        <f>Tabela1[[#This Row],[PESO UND]]/1000*(1129)</f>
        <v>3660.4776700000002</v>
      </c>
      <c r="I12" s="1"/>
    </row>
    <row r="13" spans="1:10" x14ac:dyDescent="0.25">
      <c r="A13">
        <v>802</v>
      </c>
      <c r="B13" t="s">
        <v>14</v>
      </c>
      <c r="C13" t="str">
        <f t="shared" si="0"/>
        <v>28,9</v>
      </c>
      <c r="D13" s="2">
        <v>268.2</v>
      </c>
      <c r="E13" s="1">
        <v>5433.54</v>
      </c>
      <c r="F13" s="1">
        <f>Tabela1[[#This Row],[PR.CUSTO+FRETE]]-Tabela1[[#This Row],[FRETE]]</f>
        <v>5130.7421999999997</v>
      </c>
      <c r="G13" s="1">
        <v>8048.44</v>
      </c>
      <c r="H13" s="1">
        <f>Tabela1[[#This Row],[PESO UND]]/1000*(1129)</f>
        <v>302.7978</v>
      </c>
      <c r="I13" s="1"/>
    </row>
    <row r="14" spans="1:10" x14ac:dyDescent="0.25">
      <c r="A14">
        <v>811</v>
      </c>
      <c r="B14" t="s">
        <v>15</v>
      </c>
      <c r="C14" t="str">
        <f t="shared" si="0"/>
        <v>142,</v>
      </c>
      <c r="D14" s="2">
        <v>12034.9</v>
      </c>
      <c r="E14" s="1">
        <v>72715.520000000004</v>
      </c>
      <c r="F14" s="1">
        <f>Tabela1[[#This Row],[PR.CUSTO+FRETE]]-Tabela1[[#This Row],[FRETE]]</f>
        <v>59128.117900000005</v>
      </c>
      <c r="G14" s="1">
        <v>123801.59</v>
      </c>
      <c r="H14" s="1">
        <f>Tabela1[[#This Row],[PESO UND]]/1000*(1129)</f>
        <v>13587.402100000001</v>
      </c>
      <c r="I14" s="1"/>
    </row>
    <row r="15" spans="1:10" x14ac:dyDescent="0.25">
      <c r="A15">
        <v>814</v>
      </c>
      <c r="B15" t="s">
        <v>16</v>
      </c>
      <c r="C15" t="str">
        <f t="shared" si="0"/>
        <v>142,</v>
      </c>
      <c r="D15" s="2">
        <v>97.5</v>
      </c>
      <c r="E15" s="1">
        <v>4256.3</v>
      </c>
      <c r="F15" s="1">
        <f>Tabela1[[#This Row],[PR.CUSTO+FRETE]]-Tabela1[[#This Row],[FRETE]]</f>
        <v>4146.2224999999999</v>
      </c>
      <c r="G15" s="1">
        <v>6545.27</v>
      </c>
      <c r="H15" s="1">
        <f>Tabela1[[#This Row],[PESO UND]]/1000*(1129)</f>
        <v>110.0775</v>
      </c>
      <c r="I15" s="1"/>
    </row>
    <row r="16" spans="1:10" x14ac:dyDescent="0.25">
      <c r="A16">
        <v>813</v>
      </c>
      <c r="B16" t="s">
        <v>17</v>
      </c>
      <c r="C16" t="str">
        <f t="shared" si="0"/>
        <v>142,</v>
      </c>
      <c r="D16" s="2">
        <v>1009.2</v>
      </c>
      <c r="E16" s="1">
        <v>21257.57</v>
      </c>
      <c r="F16" s="1">
        <f>Tabela1[[#This Row],[PR.CUSTO+FRETE]]-Tabela1[[#This Row],[FRETE]]</f>
        <v>20118.183199999999</v>
      </c>
      <c r="G16" s="1">
        <v>31535.200000000001</v>
      </c>
      <c r="H16" s="1">
        <f>Tabela1[[#This Row],[PESO UND]]/1000*(1129)</f>
        <v>1139.3868000000002</v>
      </c>
      <c r="I16" s="1"/>
    </row>
    <row r="17" spans="1:9" x14ac:dyDescent="0.25">
      <c r="A17">
        <v>812</v>
      </c>
      <c r="B17" t="s">
        <v>18</v>
      </c>
      <c r="C17" t="str">
        <f t="shared" si="0"/>
        <v>142,</v>
      </c>
      <c r="D17" s="2">
        <v>1009.2</v>
      </c>
      <c r="E17" s="1">
        <v>20547.490000000002</v>
      </c>
      <c r="F17" s="1">
        <f>Tabela1[[#This Row],[PR.CUSTO+FRETE]]-Tabela1[[#This Row],[FRETE]]</f>
        <v>19408.103200000001</v>
      </c>
      <c r="G17" s="1">
        <v>30414.28</v>
      </c>
      <c r="H17" s="1">
        <f>Tabela1[[#This Row],[PESO UND]]/1000*(1129)</f>
        <v>1139.3868000000002</v>
      </c>
      <c r="I17" s="1"/>
    </row>
    <row r="18" spans="1:9" x14ac:dyDescent="0.25">
      <c r="A18">
        <v>806</v>
      </c>
      <c r="B18" t="s">
        <v>930</v>
      </c>
      <c r="C18" t="str">
        <f t="shared" si="0"/>
        <v>61,5</v>
      </c>
      <c r="D18" s="2">
        <v>4565.24</v>
      </c>
      <c r="E18" s="1">
        <v>28849.57</v>
      </c>
      <c r="F18" s="1">
        <f>Tabela1[[#This Row],[PR.CUSTO+FRETE]]-Tabela1[[#This Row],[FRETE]]</f>
        <v>23695.41404</v>
      </c>
      <c r="G18" s="1">
        <v>49502.66</v>
      </c>
      <c r="H18" s="1">
        <f>Tabela1[[#This Row],[PESO UND]]/1000*(1129)</f>
        <v>5154.1559600000001</v>
      </c>
      <c r="I18" s="1"/>
    </row>
    <row r="19" spans="1:9" x14ac:dyDescent="0.25">
      <c r="A19">
        <v>809</v>
      </c>
      <c r="B19" t="s">
        <v>931</v>
      </c>
      <c r="C19" t="str">
        <f t="shared" si="0"/>
        <v>61,5</v>
      </c>
      <c r="D19" s="2">
        <v>37.5</v>
      </c>
      <c r="E19" s="1">
        <v>1637.04</v>
      </c>
      <c r="F19" s="1">
        <f>Tabela1[[#This Row],[PR.CUSTO+FRETE]]-Tabela1[[#This Row],[FRETE]]</f>
        <v>1594.7024999999999</v>
      </c>
      <c r="G19" s="1">
        <v>2517.41</v>
      </c>
      <c r="H19" s="1">
        <f>Tabela1[[#This Row],[PESO UND]]/1000*(1129)</f>
        <v>42.337499999999999</v>
      </c>
      <c r="I19" s="1"/>
    </row>
    <row r="20" spans="1:9" x14ac:dyDescent="0.25">
      <c r="A20">
        <v>1044</v>
      </c>
      <c r="B20" t="s">
        <v>19</v>
      </c>
      <c r="C20" t="str">
        <f t="shared" si="0"/>
        <v/>
      </c>
      <c r="D20" s="2">
        <v>366</v>
      </c>
      <c r="E20" s="1">
        <v>7872.93</v>
      </c>
      <c r="F20" s="1">
        <f>Tabela1[[#This Row],[PR.CUSTO+FRETE]]-Tabela1[[#This Row],[FRETE]]</f>
        <v>7459.7160000000003</v>
      </c>
      <c r="G20" s="1">
        <v>11700.84</v>
      </c>
      <c r="H20" s="1">
        <f>Tabela1[[#This Row],[PESO UND]]/1000*(1129)</f>
        <v>413.214</v>
      </c>
      <c r="I20" s="1"/>
    </row>
    <row r="21" spans="1:9" x14ac:dyDescent="0.25">
      <c r="A21">
        <v>1046</v>
      </c>
      <c r="B21" t="s">
        <v>20</v>
      </c>
      <c r="C21" t="str">
        <f t="shared" si="0"/>
        <v/>
      </c>
      <c r="D21" s="2">
        <v>378</v>
      </c>
      <c r="E21" s="1">
        <v>7629.44</v>
      </c>
      <c r="F21" s="1">
        <f>Tabela1[[#This Row],[PR.CUSTO+FRETE]]-Tabela1[[#This Row],[FRETE]]</f>
        <v>7202.6779999999999</v>
      </c>
      <c r="G21" s="1">
        <v>11295.08</v>
      </c>
      <c r="H21" s="1">
        <f>Tabela1[[#This Row],[PESO UND]]/1000*(1129)</f>
        <v>426.762</v>
      </c>
      <c r="I21" s="1"/>
    </row>
    <row r="22" spans="1:9" x14ac:dyDescent="0.25">
      <c r="A22">
        <v>824</v>
      </c>
      <c r="B22" t="s">
        <v>932</v>
      </c>
      <c r="C22" t="str">
        <f t="shared" si="0"/>
        <v>37,1</v>
      </c>
      <c r="D22" s="2">
        <v>3710.23</v>
      </c>
      <c r="E22" s="1">
        <v>21822.35</v>
      </c>
      <c r="F22" s="1">
        <f>Tabela1[[#This Row],[PR.CUSTO+FRETE]]-Tabela1[[#This Row],[FRETE]]</f>
        <v>17633.500329999999</v>
      </c>
      <c r="G22" s="1">
        <v>36997.4</v>
      </c>
      <c r="H22" s="1">
        <f>Tabela1[[#This Row],[PESO UND]]/1000*(1129)</f>
        <v>4188.8496700000005</v>
      </c>
      <c r="I22" s="1"/>
    </row>
    <row r="23" spans="1:9" x14ac:dyDescent="0.25">
      <c r="A23">
        <v>827</v>
      </c>
      <c r="B23" t="s">
        <v>21</v>
      </c>
      <c r="C23" t="str">
        <f t="shared" si="0"/>
        <v/>
      </c>
      <c r="D23" s="2">
        <v>33.75</v>
      </c>
      <c r="E23" s="1">
        <v>1473.33</v>
      </c>
      <c r="F23" s="1">
        <f>Tabela1[[#This Row],[PR.CUSTO+FRETE]]-Tabela1[[#This Row],[FRETE]]</f>
        <v>1435.2262499999999</v>
      </c>
      <c r="G23" s="1">
        <v>2265.67</v>
      </c>
      <c r="H23" s="1">
        <f>Tabela1[[#This Row],[PESO UND]]/1000*(1129)</f>
        <v>38.103750000000005</v>
      </c>
      <c r="I23" s="1"/>
    </row>
    <row r="24" spans="1:9" x14ac:dyDescent="0.25">
      <c r="A24">
        <v>826</v>
      </c>
      <c r="B24" t="s">
        <v>22</v>
      </c>
      <c r="C24" t="str">
        <f t="shared" si="0"/>
        <v/>
      </c>
      <c r="D24" s="2">
        <v>329.2</v>
      </c>
      <c r="E24" s="1">
        <v>6867.93</v>
      </c>
      <c r="F24" s="1">
        <f>Tabela1[[#This Row],[PR.CUSTO+FRETE]]-Tabela1[[#This Row],[FRETE]]</f>
        <v>6496.2632000000003</v>
      </c>
      <c r="G24" s="1">
        <v>10192.44</v>
      </c>
      <c r="H24" s="1">
        <f>Tabela1[[#This Row],[PESO UND]]/1000*(1129)</f>
        <v>371.66679999999997</v>
      </c>
      <c r="I24" s="1"/>
    </row>
    <row r="25" spans="1:9" x14ac:dyDescent="0.25">
      <c r="A25">
        <v>825</v>
      </c>
      <c r="B25" t="s">
        <v>23</v>
      </c>
      <c r="C25" t="str">
        <f t="shared" si="0"/>
        <v/>
      </c>
      <c r="D25" s="2">
        <v>329.2</v>
      </c>
      <c r="E25" s="1">
        <v>6635.98</v>
      </c>
      <c r="F25" s="1">
        <f>Tabela1[[#This Row],[PR.CUSTO+FRETE]]-Tabela1[[#This Row],[FRETE]]</f>
        <v>6264.3131999999996</v>
      </c>
      <c r="G25" s="1">
        <v>9826.2800000000007</v>
      </c>
      <c r="H25" s="1">
        <f>Tabela1[[#This Row],[PESO UND]]/1000*(1129)</f>
        <v>371.66679999999997</v>
      </c>
      <c r="I25" s="1"/>
    </row>
    <row r="26" spans="1:9" x14ac:dyDescent="0.25">
      <c r="A26">
        <v>896</v>
      </c>
      <c r="B26" t="s">
        <v>24</v>
      </c>
      <c r="C26" t="str">
        <f t="shared" si="0"/>
        <v>61,9</v>
      </c>
      <c r="D26" s="2">
        <v>4421.01</v>
      </c>
      <c r="E26" s="1">
        <v>29325.1</v>
      </c>
      <c r="F26" s="1">
        <f>Tabela1[[#This Row],[PR.CUSTO+FRETE]]-Tabela1[[#This Row],[FRETE]]</f>
        <v>24333.779709999999</v>
      </c>
      <c r="G26" s="1">
        <v>50960.93</v>
      </c>
      <c r="H26" s="1">
        <f>Tabela1[[#This Row],[PESO UND]]/1000*(1129)</f>
        <v>4991.3202899999997</v>
      </c>
      <c r="I26" s="1"/>
    </row>
    <row r="27" spans="1:9" x14ac:dyDescent="0.25">
      <c r="A27">
        <v>899</v>
      </c>
      <c r="B27" t="s">
        <v>25</v>
      </c>
      <c r="C27" t="str">
        <f t="shared" si="0"/>
        <v>61,9</v>
      </c>
      <c r="D27" s="2">
        <v>33.75</v>
      </c>
      <c r="E27" s="1">
        <v>1473.33</v>
      </c>
      <c r="F27" s="1">
        <f>Tabela1[[#This Row],[PR.CUSTO+FRETE]]-Tabela1[[#This Row],[FRETE]]</f>
        <v>1435.2262499999999</v>
      </c>
      <c r="G27" s="1">
        <v>2265.67</v>
      </c>
      <c r="H27" s="1">
        <f>Tabela1[[#This Row],[PESO UND]]/1000*(1129)</f>
        <v>38.103750000000005</v>
      </c>
      <c r="I27" s="1"/>
    </row>
    <row r="28" spans="1:9" x14ac:dyDescent="0.25">
      <c r="A28">
        <v>900</v>
      </c>
      <c r="B28" t="s">
        <v>26</v>
      </c>
      <c r="C28" t="str">
        <f t="shared" si="0"/>
        <v>61,9</v>
      </c>
      <c r="D28" s="2">
        <v>542.6</v>
      </c>
      <c r="E28" s="1">
        <v>11364.64</v>
      </c>
      <c r="F28" s="1">
        <f>Tabela1[[#This Row],[PR.CUSTO+FRETE]]-Tabela1[[#This Row],[FRETE]]</f>
        <v>10752.044599999999</v>
      </c>
      <c r="G28" s="1">
        <v>16863.28</v>
      </c>
      <c r="H28" s="1">
        <f>Tabela1[[#This Row],[PESO UND]]/1000*(1129)</f>
        <v>612.59539999999993</v>
      </c>
      <c r="I28" s="1"/>
    </row>
    <row r="29" spans="1:9" x14ac:dyDescent="0.25">
      <c r="A29">
        <v>898</v>
      </c>
      <c r="B29" t="s">
        <v>27</v>
      </c>
      <c r="C29" t="str">
        <f t="shared" si="0"/>
        <v>61,9</v>
      </c>
      <c r="D29" s="2">
        <v>542.6</v>
      </c>
      <c r="E29" s="1">
        <v>10982.44</v>
      </c>
      <c r="F29" s="1">
        <f>Tabela1[[#This Row],[PR.CUSTO+FRETE]]-Tabela1[[#This Row],[FRETE]]</f>
        <v>10369.8446</v>
      </c>
      <c r="G29" s="1">
        <v>16259.95</v>
      </c>
      <c r="H29" s="1">
        <f>Tabela1[[#This Row],[PESO UND]]/1000*(1129)</f>
        <v>612.59539999999993</v>
      </c>
      <c r="I29" s="1"/>
    </row>
    <row r="30" spans="1:9" x14ac:dyDescent="0.25">
      <c r="A30">
        <v>947</v>
      </c>
      <c r="B30" t="s">
        <v>28</v>
      </c>
      <c r="C30" t="str">
        <f t="shared" si="0"/>
        <v>53M²</v>
      </c>
      <c r="D30" s="2">
        <v>4476.62</v>
      </c>
      <c r="E30" s="1">
        <v>26806.720000000001</v>
      </c>
      <c r="F30" s="1">
        <f>Tabela1[[#This Row],[PR.CUSTO+FRETE]]-Tabela1[[#This Row],[FRETE]]</f>
        <v>21752.616020000001</v>
      </c>
      <c r="G30" s="1">
        <v>45447.5</v>
      </c>
      <c r="H30" s="1">
        <f>Tabela1[[#This Row],[PESO UND]]/1000*(1129)</f>
        <v>5054.1039799999999</v>
      </c>
      <c r="I30" s="1"/>
    </row>
    <row r="31" spans="1:9" x14ac:dyDescent="0.25">
      <c r="A31">
        <v>951</v>
      </c>
      <c r="B31" t="s">
        <v>29</v>
      </c>
      <c r="C31" t="str">
        <f t="shared" si="0"/>
        <v>53M²</v>
      </c>
      <c r="D31" s="2">
        <v>750.7</v>
      </c>
      <c r="E31" s="1">
        <v>5267.19</v>
      </c>
      <c r="F31" s="1">
        <f>Tabela1[[#This Row],[PR.CUSTO+FRETE]]-Tabela1[[#This Row],[FRETE]]</f>
        <v>4419.6496999999999</v>
      </c>
      <c r="G31" s="1">
        <v>9615.27</v>
      </c>
      <c r="H31" s="1">
        <f>Tabela1[[#This Row],[PESO UND]]/1000*(1129)</f>
        <v>847.5403</v>
      </c>
      <c r="I31" s="1"/>
    </row>
    <row r="32" spans="1:9" x14ac:dyDescent="0.25">
      <c r="A32">
        <v>950</v>
      </c>
      <c r="B32" t="s">
        <v>30</v>
      </c>
      <c r="C32" t="str">
        <f t="shared" si="0"/>
        <v>53M²</v>
      </c>
      <c r="D32" s="2">
        <v>41.25</v>
      </c>
      <c r="E32" s="1">
        <v>1800.74</v>
      </c>
      <c r="F32" s="1">
        <f>Tabela1[[#This Row],[PR.CUSTO+FRETE]]-Tabela1[[#This Row],[FRETE]]</f>
        <v>1754.16875</v>
      </c>
      <c r="G32" s="1">
        <v>2769.15</v>
      </c>
      <c r="H32" s="1">
        <f>Tabela1[[#This Row],[PESO UND]]/1000*(1129)</f>
        <v>46.571249999999999</v>
      </c>
      <c r="I32" s="1"/>
    </row>
    <row r="33" spans="1:9" x14ac:dyDescent="0.25">
      <c r="A33">
        <v>949</v>
      </c>
      <c r="B33" t="s">
        <v>31</v>
      </c>
      <c r="C33" t="str">
        <f t="shared" si="0"/>
        <v>53M²</v>
      </c>
      <c r="D33" s="2">
        <v>451.2</v>
      </c>
      <c r="E33" s="1">
        <v>9531.66</v>
      </c>
      <c r="F33" s="1">
        <f>Tabela1[[#This Row],[PR.CUSTO+FRETE]]-Tabela1[[#This Row],[FRETE]]</f>
        <v>9022.2551999999996</v>
      </c>
      <c r="G33" s="1">
        <v>14145.16</v>
      </c>
      <c r="H33" s="1">
        <f>Tabela1[[#This Row],[PESO UND]]/1000*(1129)</f>
        <v>509.40479999999997</v>
      </c>
      <c r="I33" s="1"/>
    </row>
    <row r="34" spans="1:9" x14ac:dyDescent="0.25">
      <c r="A34">
        <v>948</v>
      </c>
      <c r="B34" t="s">
        <v>32</v>
      </c>
      <c r="C34" t="str">
        <f t="shared" si="0"/>
        <v>53M²</v>
      </c>
      <c r="D34" s="2">
        <v>451.2</v>
      </c>
      <c r="E34" s="1">
        <v>9214.02</v>
      </c>
      <c r="F34" s="1">
        <f>Tabela1[[#This Row],[PR.CUSTO+FRETE]]-Tabela1[[#This Row],[FRETE]]</f>
        <v>8704.6152000000002</v>
      </c>
      <c r="G34" s="1">
        <v>13643.75</v>
      </c>
      <c r="H34" s="1">
        <f>Tabela1[[#This Row],[PESO UND]]/1000*(1129)</f>
        <v>509.40479999999997</v>
      </c>
      <c r="I34" s="1"/>
    </row>
    <row r="35" spans="1:9" x14ac:dyDescent="0.25">
      <c r="A35">
        <v>194</v>
      </c>
      <c r="B35" t="s">
        <v>33</v>
      </c>
      <c r="C35" t="str">
        <f t="shared" si="0"/>
        <v>100,</v>
      </c>
      <c r="D35" s="2">
        <v>10433.44</v>
      </c>
      <c r="E35" s="1">
        <v>61717.59</v>
      </c>
      <c r="F35" s="1">
        <f>Tabela1[[#This Row],[PR.CUSTO+FRETE]]-Tabela1[[#This Row],[FRETE]]</f>
        <v>49938.236239999998</v>
      </c>
      <c r="G35" s="1">
        <v>103688.62</v>
      </c>
      <c r="H35" s="1">
        <f>Tabela1[[#This Row],[PESO UND]]/1000*(1129)</f>
        <v>11779.353760000002</v>
      </c>
      <c r="I35" s="1"/>
    </row>
    <row r="36" spans="1:9" x14ac:dyDescent="0.25">
      <c r="A36">
        <v>343</v>
      </c>
      <c r="B36" t="s">
        <v>34</v>
      </c>
      <c r="C36" t="str">
        <f t="shared" si="0"/>
        <v>100,</v>
      </c>
      <c r="D36" s="2">
        <v>57.6</v>
      </c>
      <c r="E36" s="1">
        <v>2780.07</v>
      </c>
      <c r="F36" s="1">
        <f>Tabela1[[#This Row],[PR.CUSTO+FRETE]]-Tabela1[[#This Row],[FRETE]]</f>
        <v>2715.0396000000001</v>
      </c>
      <c r="G36" s="1">
        <v>4285.99</v>
      </c>
      <c r="H36" s="1">
        <f>Tabela1[[#This Row],[PESO UND]]/1000*(1129)</f>
        <v>65.0304</v>
      </c>
      <c r="I36" s="1"/>
    </row>
    <row r="37" spans="1:9" x14ac:dyDescent="0.25">
      <c r="A37">
        <v>340</v>
      </c>
      <c r="B37" t="s">
        <v>35</v>
      </c>
      <c r="C37" t="str">
        <f t="shared" si="0"/>
        <v>100,</v>
      </c>
      <c r="D37" s="2">
        <v>0</v>
      </c>
      <c r="E37" s="1">
        <v>11596.41</v>
      </c>
      <c r="F37" s="1">
        <f>Tabela1[[#This Row],[PR.CUSTO+FRETE]]-Tabela1[[#This Row],[FRETE]]</f>
        <v>11596.41</v>
      </c>
      <c r="G37" s="1">
        <v>18149.8</v>
      </c>
      <c r="H37" s="1">
        <f>Tabela1[[#This Row],[PESO UND]]/1000*(1129)</f>
        <v>0</v>
      </c>
      <c r="I37" s="1"/>
    </row>
    <row r="38" spans="1:9" x14ac:dyDescent="0.25">
      <c r="A38">
        <v>197</v>
      </c>
      <c r="B38" t="s">
        <v>36</v>
      </c>
      <c r="C38" t="str">
        <f t="shared" si="0"/>
        <v>100,</v>
      </c>
      <c r="D38" s="2">
        <v>722.6</v>
      </c>
      <c r="E38" s="1">
        <v>15210.49</v>
      </c>
      <c r="F38" s="1">
        <f>Tabela1[[#This Row],[PR.CUSTO+FRETE]]-Tabela1[[#This Row],[FRETE]]</f>
        <v>14394.6746</v>
      </c>
      <c r="G38" s="1">
        <v>22567.07</v>
      </c>
      <c r="H38" s="1">
        <f>Tabela1[[#This Row],[PESO UND]]/1000*(1129)</f>
        <v>815.81540000000007</v>
      </c>
      <c r="I38" s="1"/>
    </row>
    <row r="39" spans="1:9" x14ac:dyDescent="0.25">
      <c r="A39">
        <v>196</v>
      </c>
      <c r="B39" t="s">
        <v>37</v>
      </c>
      <c r="C39" t="str">
        <f t="shared" si="0"/>
        <v>100,</v>
      </c>
      <c r="D39" s="2">
        <v>722.6</v>
      </c>
      <c r="E39" s="1">
        <v>14702.06</v>
      </c>
      <c r="F39" s="1">
        <f>Tabela1[[#This Row],[PR.CUSTO+FRETE]]-Tabela1[[#This Row],[FRETE]]</f>
        <v>13886.2446</v>
      </c>
      <c r="G39" s="1">
        <v>21764.47</v>
      </c>
      <c r="H39" s="1">
        <f>Tabela1[[#This Row],[PESO UND]]/1000*(1129)</f>
        <v>815.81540000000007</v>
      </c>
      <c r="I39" s="1"/>
    </row>
    <row r="40" spans="1:9" x14ac:dyDescent="0.25">
      <c r="A40">
        <v>1076</v>
      </c>
      <c r="B40" t="s">
        <v>38</v>
      </c>
      <c r="C40" t="str">
        <f t="shared" si="0"/>
        <v>71,7</v>
      </c>
      <c r="D40" s="2">
        <v>6102.09</v>
      </c>
      <c r="E40" s="1">
        <v>32940.61</v>
      </c>
      <c r="F40" s="1">
        <f>Tabela1[[#This Row],[PR.CUSTO+FRETE]]-Tabela1[[#This Row],[FRETE]]</f>
        <v>26051.35039</v>
      </c>
      <c r="G40" s="1">
        <v>54472.27</v>
      </c>
      <c r="H40" s="1">
        <f>Tabela1[[#This Row],[PESO UND]]/1000*(1129)</f>
        <v>6889.2596100000001</v>
      </c>
      <c r="I40" s="1"/>
    </row>
    <row r="41" spans="1:9" x14ac:dyDescent="0.25">
      <c r="A41">
        <v>1079</v>
      </c>
      <c r="B41" t="s">
        <v>39</v>
      </c>
      <c r="C41" t="str">
        <f t="shared" si="0"/>
        <v>71,7</v>
      </c>
      <c r="D41" s="2">
        <v>33.75</v>
      </c>
      <c r="E41" s="1">
        <v>1473.33</v>
      </c>
      <c r="F41" s="1">
        <f>Tabela1[[#This Row],[PR.CUSTO+FRETE]]-Tabela1[[#This Row],[FRETE]]</f>
        <v>1435.2262499999999</v>
      </c>
      <c r="G41" s="1">
        <v>2265.67</v>
      </c>
      <c r="H41" s="1">
        <f>Tabela1[[#This Row],[PESO UND]]/1000*(1129)</f>
        <v>38.103750000000005</v>
      </c>
      <c r="I41" s="1"/>
    </row>
    <row r="42" spans="1:9" x14ac:dyDescent="0.25">
      <c r="A42">
        <v>1078</v>
      </c>
      <c r="B42" t="s">
        <v>40</v>
      </c>
      <c r="C42" t="str">
        <f t="shared" si="0"/>
        <v>71,7</v>
      </c>
      <c r="D42" s="2">
        <v>463.4</v>
      </c>
      <c r="E42" s="1">
        <v>9854.25</v>
      </c>
      <c r="F42" s="1">
        <f>Tabela1[[#This Row],[PR.CUSTO+FRETE]]-Tabela1[[#This Row],[FRETE]]</f>
        <v>9331.0714000000007</v>
      </c>
      <c r="G42" s="1">
        <v>14622.84</v>
      </c>
      <c r="H42" s="1">
        <f>Tabela1[[#This Row],[PESO UND]]/1000*(1129)</f>
        <v>523.17859999999996</v>
      </c>
      <c r="I42" s="1"/>
    </row>
    <row r="43" spans="1:9" x14ac:dyDescent="0.25">
      <c r="A43">
        <v>1077</v>
      </c>
      <c r="B43" t="s">
        <v>41</v>
      </c>
      <c r="C43" t="str">
        <f t="shared" si="0"/>
        <v>71,7</v>
      </c>
      <c r="D43" s="2">
        <v>463.4</v>
      </c>
      <c r="E43" s="1">
        <v>9528.06</v>
      </c>
      <c r="F43" s="1">
        <f>Tabela1[[#This Row],[PR.CUSTO+FRETE]]-Tabela1[[#This Row],[FRETE]]</f>
        <v>9004.8814000000002</v>
      </c>
      <c r="G43" s="1">
        <v>14107.91</v>
      </c>
      <c r="H43" s="1">
        <f>Tabela1[[#This Row],[PESO UND]]/1000*(1129)</f>
        <v>523.17859999999996</v>
      </c>
      <c r="I43" s="1"/>
    </row>
    <row r="44" spans="1:9" x14ac:dyDescent="0.25">
      <c r="A44">
        <v>689</v>
      </c>
      <c r="B44" t="s">
        <v>42</v>
      </c>
      <c r="C44" t="str">
        <f t="shared" si="0"/>
        <v>65,1</v>
      </c>
      <c r="D44" s="2">
        <v>9072.08</v>
      </c>
      <c r="E44" s="1">
        <v>53970.3</v>
      </c>
      <c r="F44" s="1">
        <f>Tabela1[[#This Row],[PR.CUSTO+FRETE]]-Tabela1[[#This Row],[FRETE]]</f>
        <v>43727.921679999999</v>
      </c>
      <c r="G44" s="1">
        <v>86662.16</v>
      </c>
      <c r="H44" s="1">
        <f>Tabela1[[#This Row],[PESO UND]]/1000*(1129)</f>
        <v>10242.37832</v>
      </c>
      <c r="I44" s="1"/>
    </row>
    <row r="45" spans="1:9" x14ac:dyDescent="0.25">
      <c r="A45">
        <v>694</v>
      </c>
      <c r="B45" t="s">
        <v>43</v>
      </c>
      <c r="C45" t="str">
        <f t="shared" si="0"/>
        <v/>
      </c>
      <c r="D45" s="2">
        <v>1422</v>
      </c>
      <c r="E45" s="1">
        <v>7678.75</v>
      </c>
      <c r="F45" s="1">
        <f>Tabela1[[#This Row],[PR.CUSTO+FRETE]]-Tabela1[[#This Row],[FRETE]]</f>
        <v>6073.3119999999999</v>
      </c>
      <c r="G45" s="1">
        <v>12966.82</v>
      </c>
      <c r="H45" s="1">
        <f>Tabela1[[#This Row],[PESO UND]]/1000*(1129)</f>
        <v>1605.4379999999999</v>
      </c>
      <c r="I45" s="1"/>
    </row>
    <row r="46" spans="1:9" x14ac:dyDescent="0.25">
      <c r="A46">
        <v>693</v>
      </c>
      <c r="B46" t="s">
        <v>44</v>
      </c>
      <c r="C46" t="str">
        <f t="shared" si="0"/>
        <v/>
      </c>
      <c r="D46" s="2">
        <v>54</v>
      </c>
      <c r="E46" s="1">
        <v>1851.37</v>
      </c>
      <c r="F46" s="1">
        <f>Tabela1[[#This Row],[PR.CUSTO+FRETE]]-Tabela1[[#This Row],[FRETE]]</f>
        <v>1790.404</v>
      </c>
      <c r="G46" s="1">
        <v>2826.37</v>
      </c>
      <c r="H46" s="1">
        <f>Tabela1[[#This Row],[PESO UND]]/1000*(1129)</f>
        <v>60.966000000000001</v>
      </c>
      <c r="I46" s="1"/>
    </row>
    <row r="47" spans="1:9" x14ac:dyDescent="0.25">
      <c r="A47">
        <v>692</v>
      </c>
      <c r="B47" t="s">
        <v>45</v>
      </c>
      <c r="C47" t="str">
        <f t="shared" si="0"/>
        <v/>
      </c>
      <c r="D47" s="2">
        <v>359.6</v>
      </c>
      <c r="E47" s="1">
        <v>6715.31</v>
      </c>
      <c r="F47" s="1">
        <f>Tabela1[[#This Row],[PR.CUSTO+FRETE]]-Tabela1[[#This Row],[FRETE]]</f>
        <v>6309.3216000000002</v>
      </c>
      <c r="G47" s="1">
        <v>9959.7199999999993</v>
      </c>
      <c r="H47" s="1">
        <f>Tabela1[[#This Row],[PESO UND]]/1000*(1129)</f>
        <v>405.98840000000001</v>
      </c>
      <c r="I47" s="1"/>
    </row>
    <row r="48" spans="1:9" x14ac:dyDescent="0.25">
      <c r="A48">
        <v>691</v>
      </c>
      <c r="B48" t="s">
        <v>46</v>
      </c>
      <c r="C48" t="str">
        <f t="shared" si="0"/>
        <v/>
      </c>
      <c r="D48" s="2">
        <v>359.6</v>
      </c>
      <c r="E48" s="1">
        <v>6461.63</v>
      </c>
      <c r="F48" s="1">
        <f>Tabela1[[#This Row],[PR.CUSTO+FRETE]]-Tabela1[[#This Row],[FRETE]]</f>
        <v>6055.6415999999999</v>
      </c>
      <c r="G48" s="1">
        <v>9559.27</v>
      </c>
      <c r="H48" s="1">
        <f>Tabela1[[#This Row],[PESO UND]]/1000*(1129)</f>
        <v>405.98840000000001</v>
      </c>
      <c r="I48" s="1"/>
    </row>
    <row r="49" spans="1:9" x14ac:dyDescent="0.25">
      <c r="A49">
        <v>1057</v>
      </c>
      <c r="B49" t="s">
        <v>47</v>
      </c>
      <c r="C49" t="str">
        <f t="shared" si="0"/>
        <v/>
      </c>
      <c r="D49" s="2">
        <v>750.2</v>
      </c>
      <c r="E49" s="1">
        <v>4509.55</v>
      </c>
      <c r="F49" s="1">
        <f>Tabela1[[#This Row],[PR.CUSTO+FRETE]]-Tabela1[[#This Row],[FRETE]]</f>
        <v>3662.5742</v>
      </c>
      <c r="G49" s="1">
        <v>6619.59</v>
      </c>
      <c r="H49" s="1">
        <f>Tabela1[[#This Row],[PESO UND]]/1000*(1129)</f>
        <v>846.97580000000005</v>
      </c>
      <c r="I49" s="1"/>
    </row>
    <row r="50" spans="1:9" x14ac:dyDescent="0.25">
      <c r="A50">
        <v>573</v>
      </c>
      <c r="B50" t="s">
        <v>933</v>
      </c>
      <c r="C50" t="str">
        <f t="shared" si="0"/>
        <v>42,0</v>
      </c>
      <c r="D50" s="2">
        <v>4785.17</v>
      </c>
      <c r="E50" s="1">
        <v>5402.4569300000003</v>
      </c>
      <c r="F50" s="1">
        <f>Tabela1[[#This Row],[PR.CUSTO+FRETE]]-Tabela1[[#This Row],[FRETE]]</f>
        <v>0</v>
      </c>
      <c r="G50" s="1">
        <v>35446.035000000003</v>
      </c>
      <c r="H50" s="1">
        <f>Tabela1[[#This Row],[PESO UND]]/1000*(1129)</f>
        <v>5402.4569300000003</v>
      </c>
      <c r="I50" s="1"/>
    </row>
    <row r="51" spans="1:9" x14ac:dyDescent="0.25">
      <c r="A51">
        <v>917</v>
      </c>
      <c r="B51" t="s">
        <v>48</v>
      </c>
      <c r="C51" t="str">
        <f t="shared" si="0"/>
        <v>17,6</v>
      </c>
      <c r="D51" s="2">
        <v>2718.3</v>
      </c>
      <c r="E51" s="1">
        <v>14129.38</v>
      </c>
      <c r="F51" s="1">
        <f>Tabela1[[#This Row],[PR.CUSTO+FRETE]]-Tabela1[[#This Row],[FRETE]]</f>
        <v>11060.4193</v>
      </c>
      <c r="G51" s="1">
        <v>23670.799999999999</v>
      </c>
      <c r="H51" s="1">
        <f>Tabela1[[#This Row],[PESO UND]]/1000*(1129)</f>
        <v>3068.9607000000001</v>
      </c>
      <c r="I51" s="1"/>
    </row>
    <row r="52" spans="1:9" x14ac:dyDescent="0.25">
      <c r="A52">
        <v>920</v>
      </c>
      <c r="B52" t="s">
        <v>49</v>
      </c>
      <c r="C52" t="str">
        <f t="shared" si="0"/>
        <v>17,6</v>
      </c>
      <c r="D52" s="2">
        <v>11.25</v>
      </c>
      <c r="E52" s="1">
        <v>491.11</v>
      </c>
      <c r="F52" s="1">
        <f>Tabela1[[#This Row],[PR.CUSTO+FRETE]]-Tabela1[[#This Row],[FRETE]]</f>
        <v>478.40875</v>
      </c>
      <c r="G52" s="1">
        <v>755.22</v>
      </c>
      <c r="H52" s="1">
        <f>Tabela1[[#This Row],[PESO UND]]/1000*(1129)</f>
        <v>12.70125</v>
      </c>
      <c r="I52" s="1"/>
    </row>
    <row r="53" spans="1:9" x14ac:dyDescent="0.25">
      <c r="A53">
        <v>919</v>
      </c>
      <c r="B53" t="s">
        <v>50</v>
      </c>
      <c r="C53" t="str">
        <f t="shared" si="0"/>
        <v>17,6</v>
      </c>
      <c r="D53" s="2">
        <v>61</v>
      </c>
      <c r="E53" s="1">
        <v>1131.47</v>
      </c>
      <c r="F53" s="1">
        <f>Tabela1[[#This Row],[PR.CUSTO+FRETE]]-Tabela1[[#This Row],[FRETE]]</f>
        <v>1062.6010000000001</v>
      </c>
      <c r="G53" s="1">
        <v>1677.39</v>
      </c>
      <c r="H53" s="1">
        <f>Tabela1[[#This Row],[PESO UND]]/1000*(1129)</f>
        <v>68.869</v>
      </c>
      <c r="I53" s="1"/>
    </row>
    <row r="54" spans="1:9" x14ac:dyDescent="0.25">
      <c r="A54">
        <v>918</v>
      </c>
      <c r="B54" t="s">
        <v>51</v>
      </c>
      <c r="C54" t="str">
        <f t="shared" si="0"/>
        <v>17,6</v>
      </c>
      <c r="D54" s="2">
        <v>61</v>
      </c>
      <c r="E54" s="1">
        <v>1088.6300000000001</v>
      </c>
      <c r="F54" s="1">
        <f>Tabela1[[#This Row],[PR.CUSTO+FRETE]]-Tabela1[[#This Row],[FRETE]]</f>
        <v>1019.7610000000001</v>
      </c>
      <c r="G54" s="1">
        <v>1609.76</v>
      </c>
      <c r="H54" s="1">
        <f>Tabela1[[#This Row],[PESO UND]]/1000*(1129)</f>
        <v>68.869</v>
      </c>
      <c r="I54" s="1"/>
    </row>
    <row r="55" spans="1:9" x14ac:dyDescent="0.25">
      <c r="A55">
        <v>921</v>
      </c>
      <c r="B55" t="s">
        <v>52</v>
      </c>
      <c r="C55" t="str">
        <f t="shared" si="0"/>
        <v>17,8</v>
      </c>
      <c r="D55" s="2">
        <v>379</v>
      </c>
      <c r="E55" s="1">
        <v>2032.33</v>
      </c>
      <c r="F55" s="1">
        <f>Tabela1[[#This Row],[PR.CUSTO+FRETE]]-Tabela1[[#This Row],[FRETE]]</f>
        <v>1604.4389999999999</v>
      </c>
      <c r="G55" s="1">
        <v>3394.07</v>
      </c>
      <c r="H55" s="1">
        <f>Tabela1[[#This Row],[PESO UND]]/1000*(1129)</f>
        <v>427.89100000000002</v>
      </c>
      <c r="I55" s="1"/>
    </row>
    <row r="56" spans="1:9" x14ac:dyDescent="0.25">
      <c r="A56">
        <v>554</v>
      </c>
      <c r="B56" t="s">
        <v>53</v>
      </c>
      <c r="C56" t="str">
        <f t="shared" si="0"/>
        <v>66,4</v>
      </c>
      <c r="D56" s="2">
        <v>7784.78</v>
      </c>
      <c r="E56" s="1">
        <v>41752.910000000003</v>
      </c>
      <c r="F56" s="1">
        <f>Tabela1[[#This Row],[PR.CUSTO+FRETE]]-Tabela1[[#This Row],[FRETE]]</f>
        <v>32963.893380000001</v>
      </c>
      <c r="G56" s="1">
        <v>67618.77</v>
      </c>
      <c r="H56" s="1">
        <f>Tabela1[[#This Row],[PESO UND]]/1000*(1129)</f>
        <v>8789.0166200000003</v>
      </c>
      <c r="I56" s="1"/>
    </row>
    <row r="57" spans="1:9" x14ac:dyDescent="0.25">
      <c r="A57">
        <v>558</v>
      </c>
      <c r="B57" t="s">
        <v>54</v>
      </c>
      <c r="C57" t="str">
        <f t="shared" si="0"/>
        <v>66,4</v>
      </c>
      <c r="D57" s="2">
        <v>1406.5</v>
      </c>
      <c r="E57" s="1">
        <v>7726</v>
      </c>
      <c r="F57" s="1">
        <f>Tabela1[[#This Row],[PR.CUSTO+FRETE]]-Tabela1[[#This Row],[FRETE]]</f>
        <v>6138.0614999999998</v>
      </c>
      <c r="G57" s="1">
        <v>12882.29</v>
      </c>
      <c r="H57" s="1">
        <f>Tabela1[[#This Row],[PESO UND]]/1000*(1129)</f>
        <v>1587.9385000000002</v>
      </c>
      <c r="I57" s="1"/>
    </row>
    <row r="58" spans="1:9" x14ac:dyDescent="0.25">
      <c r="A58">
        <v>557</v>
      </c>
      <c r="B58" t="s">
        <v>55</v>
      </c>
      <c r="C58" t="str">
        <f t="shared" si="0"/>
        <v>66,4</v>
      </c>
      <c r="D58" s="2">
        <v>56.25</v>
      </c>
      <c r="E58" s="1">
        <v>2455.56</v>
      </c>
      <c r="F58" s="1">
        <f>Tabela1[[#This Row],[PR.CUSTO+FRETE]]-Tabela1[[#This Row],[FRETE]]</f>
        <v>2392.05375</v>
      </c>
      <c r="G58" s="1">
        <v>3776.12</v>
      </c>
      <c r="H58" s="1">
        <f>Tabela1[[#This Row],[PESO UND]]/1000*(1129)</f>
        <v>63.506250000000001</v>
      </c>
      <c r="I58" s="1"/>
    </row>
    <row r="59" spans="1:9" x14ac:dyDescent="0.25">
      <c r="A59">
        <v>556</v>
      </c>
      <c r="B59" t="s">
        <v>56</v>
      </c>
      <c r="C59" t="str">
        <f t="shared" si="0"/>
        <v>66,4</v>
      </c>
      <c r="D59" s="2">
        <v>461.3</v>
      </c>
      <c r="E59" s="1">
        <v>8707.84</v>
      </c>
      <c r="F59" s="1">
        <f>Tabela1[[#This Row],[PR.CUSTO+FRETE]]-Tabela1[[#This Row],[FRETE]]</f>
        <v>8187.0322999999999</v>
      </c>
      <c r="G59" s="1">
        <v>12923.82</v>
      </c>
      <c r="H59" s="1">
        <f>Tabela1[[#This Row],[PESO UND]]/1000*(1129)</f>
        <v>520.80769999999995</v>
      </c>
      <c r="I59" s="1"/>
    </row>
    <row r="60" spans="1:9" x14ac:dyDescent="0.25">
      <c r="A60">
        <v>555</v>
      </c>
      <c r="B60" t="s">
        <v>57</v>
      </c>
      <c r="C60" t="str">
        <f t="shared" si="0"/>
        <v>66,4</v>
      </c>
      <c r="D60" s="2">
        <v>461.3</v>
      </c>
      <c r="E60" s="1">
        <v>8426.48</v>
      </c>
      <c r="F60" s="1">
        <f>Tabela1[[#This Row],[PR.CUSTO+FRETE]]-Tabela1[[#This Row],[FRETE]]</f>
        <v>7905.6722999999993</v>
      </c>
      <c r="G60" s="1">
        <v>12479.64</v>
      </c>
      <c r="H60" s="1">
        <f>Tabela1[[#This Row],[PESO UND]]/1000*(1129)</f>
        <v>520.80769999999995</v>
      </c>
      <c r="I60" s="1"/>
    </row>
    <row r="61" spans="1:9" x14ac:dyDescent="0.25">
      <c r="A61">
        <v>856</v>
      </c>
      <c r="B61" t="s">
        <v>934</v>
      </c>
      <c r="C61" t="str">
        <f t="shared" si="0"/>
        <v>05,0</v>
      </c>
      <c r="D61" s="2">
        <v>500.05</v>
      </c>
      <c r="E61" s="1">
        <v>4542.68</v>
      </c>
      <c r="F61" s="1">
        <f>Tabela1[[#This Row],[PR.CUSTO+FRETE]]-Tabela1[[#This Row],[FRETE]]</f>
        <v>3978.1235500000003</v>
      </c>
      <c r="G61" s="1">
        <v>7650.9</v>
      </c>
      <c r="H61" s="1">
        <f>Tabela1[[#This Row],[PESO UND]]/1000*(1129)</f>
        <v>564.55645000000004</v>
      </c>
      <c r="I61" s="1"/>
    </row>
    <row r="62" spans="1:9" x14ac:dyDescent="0.25">
      <c r="A62">
        <v>858</v>
      </c>
      <c r="B62" t="s">
        <v>935</v>
      </c>
      <c r="C62" t="str">
        <f t="shared" si="0"/>
        <v>05,0</v>
      </c>
      <c r="D62" s="2">
        <v>554</v>
      </c>
      <c r="E62" s="1">
        <v>5096.88</v>
      </c>
      <c r="F62" s="1">
        <f>Tabela1[[#This Row],[PR.CUSTO+FRETE]]-Tabela1[[#This Row],[FRETE]]</f>
        <v>4471.4139999999998</v>
      </c>
      <c r="G62" s="1">
        <v>8552.7099999999991</v>
      </c>
      <c r="H62" s="1">
        <f>Tabela1[[#This Row],[PESO UND]]/1000*(1129)</f>
        <v>625.46600000000001</v>
      </c>
      <c r="I62" s="1"/>
    </row>
    <row r="63" spans="1:9" x14ac:dyDescent="0.25">
      <c r="A63">
        <v>859</v>
      </c>
      <c r="B63" t="s">
        <v>936</v>
      </c>
      <c r="C63" t="str">
        <f t="shared" si="0"/>
        <v>06,2</v>
      </c>
      <c r="D63" s="2">
        <v>710.05</v>
      </c>
      <c r="E63" s="1">
        <v>6631.41</v>
      </c>
      <c r="F63" s="1">
        <f>Tabela1[[#This Row],[PR.CUSTO+FRETE]]-Tabela1[[#This Row],[FRETE]]</f>
        <v>5829.7635499999997</v>
      </c>
      <c r="G63" s="1">
        <v>11023.75</v>
      </c>
      <c r="H63" s="1">
        <f>Tabela1[[#This Row],[PESO UND]]/1000*(1129)</f>
        <v>801.64644999999996</v>
      </c>
      <c r="I63" s="1"/>
    </row>
    <row r="64" spans="1:9" x14ac:dyDescent="0.25">
      <c r="A64">
        <v>433</v>
      </c>
      <c r="B64" t="s">
        <v>58</v>
      </c>
      <c r="C64" t="str">
        <f t="shared" si="0"/>
        <v/>
      </c>
      <c r="D64" s="2">
        <v>2703.9</v>
      </c>
      <c r="E64" s="1">
        <v>15230.31</v>
      </c>
      <c r="F64" s="1">
        <f>Tabela1[[#This Row],[PR.CUSTO+FRETE]]-Tabela1[[#This Row],[FRETE]]</f>
        <v>12177.606899999999</v>
      </c>
      <c r="G64" s="1">
        <v>24772.11</v>
      </c>
      <c r="H64" s="1">
        <f>Tabela1[[#This Row],[PESO UND]]/1000*(1129)</f>
        <v>3052.7031000000002</v>
      </c>
      <c r="I64" s="1"/>
    </row>
    <row r="65" spans="1:9" x14ac:dyDescent="0.25">
      <c r="A65">
        <v>437</v>
      </c>
      <c r="B65" t="s">
        <v>59</v>
      </c>
      <c r="C65" t="str">
        <f t="shared" si="0"/>
        <v/>
      </c>
      <c r="D65" s="2">
        <v>1481.5</v>
      </c>
      <c r="E65" s="1">
        <v>7732.49</v>
      </c>
      <c r="F65" s="1">
        <f>Tabela1[[#This Row],[PR.CUSTO+FRETE]]-Tabela1[[#This Row],[FRETE]]</f>
        <v>6059.8765000000003</v>
      </c>
      <c r="G65" s="1">
        <v>12937.12</v>
      </c>
      <c r="H65" s="1">
        <f>Tabela1[[#This Row],[PESO UND]]/1000*(1129)</f>
        <v>1672.6134999999999</v>
      </c>
      <c r="I65" s="1"/>
    </row>
    <row r="66" spans="1:9" x14ac:dyDescent="0.25">
      <c r="A66">
        <v>436</v>
      </c>
      <c r="B66" t="s">
        <v>60</v>
      </c>
      <c r="C66" t="str">
        <f t="shared" ref="C66:C129" si="1">IFERROR(MID(B66,FIND("(",B66)+1,4),"")</f>
        <v/>
      </c>
      <c r="D66" s="2">
        <v>48.75</v>
      </c>
      <c r="E66" s="1">
        <v>2128.15</v>
      </c>
      <c r="F66" s="1">
        <f>Tabela1[[#This Row],[PR.CUSTO+FRETE]]-Tabela1[[#This Row],[FRETE]]</f>
        <v>2073.1112499999999</v>
      </c>
      <c r="G66" s="1">
        <v>3272.63</v>
      </c>
      <c r="H66" s="1">
        <f>Tabela1[[#This Row],[PESO UND]]/1000*(1129)</f>
        <v>55.03875</v>
      </c>
      <c r="I66" s="1"/>
    </row>
    <row r="67" spans="1:9" x14ac:dyDescent="0.25">
      <c r="A67">
        <v>435</v>
      </c>
      <c r="B67" t="s">
        <v>61</v>
      </c>
      <c r="C67" t="str">
        <f t="shared" si="1"/>
        <v/>
      </c>
      <c r="D67" s="2">
        <v>324</v>
      </c>
      <c r="E67" s="1">
        <v>6061.5</v>
      </c>
      <c r="F67" s="1">
        <f>Tabela1[[#This Row],[PR.CUSTO+FRETE]]-Tabela1[[#This Row],[FRETE]]</f>
        <v>5695.7039999999997</v>
      </c>
      <c r="G67" s="1">
        <v>8991.08</v>
      </c>
      <c r="H67" s="1">
        <f>Tabela1[[#This Row],[PESO UND]]/1000*(1129)</f>
        <v>365.79599999999999</v>
      </c>
      <c r="I67" s="1"/>
    </row>
    <row r="68" spans="1:9" x14ac:dyDescent="0.25">
      <c r="A68">
        <v>434</v>
      </c>
      <c r="B68" t="s">
        <v>62</v>
      </c>
      <c r="C68" t="str">
        <f t="shared" si="1"/>
        <v/>
      </c>
      <c r="D68" s="2">
        <v>219.6</v>
      </c>
      <c r="E68" s="1">
        <v>3919.06</v>
      </c>
      <c r="F68" s="1">
        <f>Tabela1[[#This Row],[PR.CUSTO+FRETE]]-Tabela1[[#This Row],[FRETE]]</f>
        <v>3671.1316000000002</v>
      </c>
      <c r="G68" s="1">
        <v>5795.15</v>
      </c>
      <c r="H68" s="1">
        <f>Tabela1[[#This Row],[PESO UND]]/1000*(1129)</f>
        <v>247.92839999999998</v>
      </c>
      <c r="I68" s="1"/>
    </row>
    <row r="69" spans="1:9" x14ac:dyDescent="0.25">
      <c r="A69">
        <v>922</v>
      </c>
      <c r="B69" t="s">
        <v>63</v>
      </c>
      <c r="C69" t="str">
        <f t="shared" si="1"/>
        <v>9,75</v>
      </c>
      <c r="D69" s="2">
        <v>1523.2</v>
      </c>
      <c r="E69" s="1">
        <v>8261.19</v>
      </c>
      <c r="F69" s="1">
        <f>Tabela1[[#This Row],[PR.CUSTO+FRETE]]-Tabela1[[#This Row],[FRETE]]</f>
        <v>6541.4972000000007</v>
      </c>
      <c r="G69" s="1">
        <v>14244.83</v>
      </c>
      <c r="H69" s="1">
        <f>Tabela1[[#This Row],[PESO UND]]/1000*(1129)</f>
        <v>1719.6928</v>
      </c>
      <c r="I69" s="1"/>
    </row>
    <row r="70" spans="1:9" x14ac:dyDescent="0.25">
      <c r="A70">
        <v>926</v>
      </c>
      <c r="B70" t="s">
        <v>64</v>
      </c>
      <c r="C70" t="str">
        <f t="shared" si="1"/>
        <v>9,75</v>
      </c>
      <c r="D70" s="2">
        <v>405</v>
      </c>
      <c r="E70" s="1">
        <v>2155.77</v>
      </c>
      <c r="F70" s="1">
        <f>Tabela1[[#This Row],[PR.CUSTO+FRETE]]-Tabela1[[#This Row],[FRETE]]</f>
        <v>1698.5250000000001</v>
      </c>
      <c r="G70" s="1">
        <v>3601.99</v>
      </c>
      <c r="H70" s="1">
        <f>Tabela1[[#This Row],[PESO UND]]/1000*(1129)</f>
        <v>457.245</v>
      </c>
      <c r="I70" s="1"/>
    </row>
    <row r="71" spans="1:9" x14ac:dyDescent="0.25">
      <c r="A71">
        <v>925</v>
      </c>
      <c r="B71" t="s">
        <v>65</v>
      </c>
      <c r="C71" t="str">
        <f t="shared" si="1"/>
        <v>9,75</v>
      </c>
      <c r="D71" s="2">
        <v>15</v>
      </c>
      <c r="E71" s="1">
        <v>654.82000000000005</v>
      </c>
      <c r="F71" s="1">
        <f>Tabela1[[#This Row],[PR.CUSTO+FRETE]]-Tabela1[[#This Row],[FRETE]]</f>
        <v>637.8850000000001</v>
      </c>
      <c r="G71" s="1">
        <v>1006.96</v>
      </c>
      <c r="H71" s="1">
        <f>Tabela1[[#This Row],[PESO UND]]/1000*(1129)</f>
        <v>16.934999999999999</v>
      </c>
      <c r="I71" s="1"/>
    </row>
    <row r="72" spans="1:9" x14ac:dyDescent="0.25">
      <c r="A72">
        <v>924</v>
      </c>
      <c r="B72" t="s">
        <v>66</v>
      </c>
      <c r="C72" t="str">
        <f t="shared" si="1"/>
        <v>9,75</v>
      </c>
      <c r="D72" s="2">
        <v>55.7</v>
      </c>
      <c r="E72" s="1">
        <v>1100.32</v>
      </c>
      <c r="F72" s="1">
        <f>Tabela1[[#This Row],[PR.CUSTO+FRETE]]-Tabela1[[#This Row],[FRETE]]</f>
        <v>1037.4347</v>
      </c>
      <c r="G72" s="1">
        <v>1637.68</v>
      </c>
      <c r="H72" s="1">
        <f>Tabela1[[#This Row],[PESO UND]]/1000*(1129)</f>
        <v>62.885300000000001</v>
      </c>
      <c r="I72" s="1"/>
    </row>
    <row r="73" spans="1:9" x14ac:dyDescent="0.25">
      <c r="A73">
        <v>923</v>
      </c>
      <c r="B73" t="s">
        <v>67</v>
      </c>
      <c r="C73" t="str">
        <f t="shared" si="1"/>
        <v>9,75</v>
      </c>
      <c r="D73" s="2">
        <v>55.7</v>
      </c>
      <c r="E73" s="1">
        <v>1065.74</v>
      </c>
      <c r="F73" s="1">
        <f>Tabela1[[#This Row],[PR.CUSTO+FRETE]]-Tabela1[[#This Row],[FRETE]]</f>
        <v>1002.8547</v>
      </c>
      <c r="G73" s="1">
        <v>1583.09</v>
      </c>
      <c r="H73" s="1">
        <f>Tabela1[[#This Row],[PESO UND]]/1000*(1129)</f>
        <v>62.885300000000001</v>
      </c>
      <c r="I73" s="1"/>
    </row>
    <row r="74" spans="1:9" x14ac:dyDescent="0.25">
      <c r="A74">
        <v>448</v>
      </c>
      <c r="B74" t="s">
        <v>937</v>
      </c>
      <c r="C74" t="str">
        <f t="shared" si="1"/>
        <v>09,0</v>
      </c>
      <c r="D74" s="2">
        <v>1444.99</v>
      </c>
      <c r="E74" s="1">
        <v>7952.79</v>
      </c>
      <c r="F74" s="1">
        <f>Tabela1[[#This Row],[PR.CUSTO+FRETE]]-Tabela1[[#This Row],[FRETE]]</f>
        <v>6321.3962899999997</v>
      </c>
      <c r="G74" s="1">
        <v>13733.3</v>
      </c>
      <c r="H74" s="1">
        <f>Tabela1[[#This Row],[PESO UND]]/1000*(1129)</f>
        <v>1631.3937100000001</v>
      </c>
      <c r="I74" s="1"/>
    </row>
    <row r="75" spans="1:9" x14ac:dyDescent="0.25">
      <c r="A75">
        <v>799</v>
      </c>
      <c r="B75" t="s">
        <v>68</v>
      </c>
      <c r="C75" t="str">
        <f t="shared" si="1"/>
        <v/>
      </c>
      <c r="D75" s="2">
        <v>346.5</v>
      </c>
      <c r="E75" s="1">
        <v>1878.04</v>
      </c>
      <c r="F75" s="1">
        <f>Tabela1[[#This Row],[PR.CUSTO+FRETE]]-Tabela1[[#This Row],[FRETE]]</f>
        <v>1486.8415</v>
      </c>
      <c r="G75" s="1">
        <v>3134.18</v>
      </c>
      <c r="H75" s="1">
        <f>Tabela1[[#This Row],[PESO UND]]/1000*(1129)</f>
        <v>391.19849999999997</v>
      </c>
      <c r="I75" s="1"/>
    </row>
    <row r="76" spans="1:9" x14ac:dyDescent="0.25">
      <c r="A76">
        <v>798</v>
      </c>
      <c r="B76" t="s">
        <v>69</v>
      </c>
      <c r="C76" t="str">
        <f t="shared" si="1"/>
        <v/>
      </c>
      <c r="D76" s="2">
        <v>11.25</v>
      </c>
      <c r="E76" s="1">
        <v>491.11</v>
      </c>
      <c r="F76" s="1">
        <f>Tabela1[[#This Row],[PR.CUSTO+FRETE]]-Tabela1[[#This Row],[FRETE]]</f>
        <v>478.40875</v>
      </c>
      <c r="G76" s="1">
        <v>755.22</v>
      </c>
      <c r="H76" s="1">
        <f>Tabela1[[#This Row],[PESO UND]]/1000*(1129)</f>
        <v>12.70125</v>
      </c>
      <c r="I76" s="1"/>
    </row>
    <row r="77" spans="1:9" x14ac:dyDescent="0.25">
      <c r="A77">
        <v>797</v>
      </c>
      <c r="B77" t="s">
        <v>70</v>
      </c>
      <c r="C77" t="str">
        <f t="shared" si="1"/>
        <v/>
      </c>
      <c r="D77" s="2">
        <v>54.7</v>
      </c>
      <c r="E77" s="1">
        <v>1082.81</v>
      </c>
      <c r="F77" s="1">
        <f>Tabela1[[#This Row],[PR.CUSTO+FRETE]]-Tabela1[[#This Row],[FRETE]]</f>
        <v>1021.0536999999999</v>
      </c>
      <c r="G77" s="1">
        <v>1611.82</v>
      </c>
      <c r="H77" s="1">
        <f>Tabela1[[#This Row],[PESO UND]]/1000*(1129)</f>
        <v>61.756300000000003</v>
      </c>
      <c r="I77" s="1"/>
    </row>
    <row r="78" spans="1:9" x14ac:dyDescent="0.25">
      <c r="A78">
        <v>796</v>
      </c>
      <c r="B78" t="s">
        <v>71</v>
      </c>
      <c r="C78" t="str">
        <f t="shared" si="1"/>
        <v/>
      </c>
      <c r="D78" s="2">
        <v>54.7</v>
      </c>
      <c r="E78" s="1">
        <v>1048.23</v>
      </c>
      <c r="F78" s="1">
        <f>Tabela1[[#This Row],[PR.CUSTO+FRETE]]-Tabela1[[#This Row],[FRETE]]</f>
        <v>986.47370000000001</v>
      </c>
      <c r="G78" s="1">
        <v>1557.23</v>
      </c>
      <c r="H78" s="1">
        <f>Tabela1[[#This Row],[PESO UND]]/1000*(1129)</f>
        <v>61.756300000000003</v>
      </c>
      <c r="I78" s="1"/>
    </row>
    <row r="79" spans="1:9" x14ac:dyDescent="0.25">
      <c r="A79">
        <v>1058</v>
      </c>
      <c r="B79" t="s">
        <v>72</v>
      </c>
      <c r="C79" t="str">
        <f t="shared" si="1"/>
        <v/>
      </c>
      <c r="D79" s="2">
        <v>206.1</v>
      </c>
      <c r="E79" s="1">
        <v>1102.0899999999999</v>
      </c>
      <c r="F79" s="1">
        <f>Tabela1[[#This Row],[PR.CUSTO+FRETE]]-Tabela1[[#This Row],[FRETE]]</f>
        <v>869.40309999999988</v>
      </c>
      <c r="G79" s="1">
        <v>1845.42</v>
      </c>
      <c r="H79" s="1">
        <f>Tabela1[[#This Row],[PESO UND]]/1000*(1129)</f>
        <v>232.68690000000001</v>
      </c>
      <c r="I79" s="1"/>
    </row>
    <row r="80" spans="1:9" x14ac:dyDescent="0.25">
      <c r="A80">
        <v>1086</v>
      </c>
      <c r="B80" t="s">
        <v>73</v>
      </c>
      <c r="C80" t="str">
        <f t="shared" si="1"/>
        <v/>
      </c>
      <c r="D80" s="2">
        <v>822.4</v>
      </c>
      <c r="E80" s="1">
        <v>4165.8500000000004</v>
      </c>
      <c r="F80" s="1">
        <f>Tabela1[[#This Row],[PR.CUSTO+FRETE]]-Tabela1[[#This Row],[FRETE]]</f>
        <v>3237.3604000000005</v>
      </c>
      <c r="G80" s="1">
        <v>7002.38</v>
      </c>
      <c r="H80" s="1">
        <f>Tabela1[[#This Row],[PESO UND]]/1000*(1129)</f>
        <v>928.4896</v>
      </c>
      <c r="I80" s="1"/>
    </row>
    <row r="81" spans="1:9" x14ac:dyDescent="0.25">
      <c r="A81">
        <v>1238</v>
      </c>
      <c r="B81" t="s">
        <v>74</v>
      </c>
      <c r="C81" t="str">
        <f t="shared" si="1"/>
        <v>32,5</v>
      </c>
      <c r="D81" s="2">
        <v>2204.89</v>
      </c>
      <c r="E81" s="1">
        <v>13086.29</v>
      </c>
      <c r="F81" s="1">
        <f>Tabela1[[#This Row],[PR.CUSTO+FRETE]]-Tabela1[[#This Row],[FRETE]]</f>
        <v>10596.969190000002</v>
      </c>
      <c r="G81" s="1">
        <v>21313.4</v>
      </c>
      <c r="H81" s="1">
        <f>Tabela1[[#This Row],[PESO UND]]/1000*(1129)</f>
        <v>2489.3208099999997</v>
      </c>
      <c r="I81" s="1"/>
    </row>
    <row r="82" spans="1:9" x14ac:dyDescent="0.25">
      <c r="A82">
        <v>1313</v>
      </c>
      <c r="B82" t="s">
        <v>75</v>
      </c>
      <c r="C82" t="str">
        <f t="shared" si="1"/>
        <v>32,5</v>
      </c>
      <c r="D82" s="2">
        <v>919.35</v>
      </c>
      <c r="E82" s="1">
        <v>5171.63</v>
      </c>
      <c r="F82" s="1">
        <f>Tabela1[[#This Row],[PR.CUSTO+FRETE]]-Tabela1[[#This Row],[FRETE]]</f>
        <v>4133.6838500000003</v>
      </c>
      <c r="G82" s="1">
        <v>8769.02</v>
      </c>
      <c r="H82" s="1">
        <f>Tabela1[[#This Row],[PESO UND]]/1000*(1129)</f>
        <v>1037.94615</v>
      </c>
      <c r="I82" s="1"/>
    </row>
    <row r="83" spans="1:9" x14ac:dyDescent="0.25">
      <c r="A83">
        <v>1312</v>
      </c>
      <c r="B83" t="s">
        <v>76</v>
      </c>
      <c r="C83" t="str">
        <f t="shared" si="1"/>
        <v>32,5</v>
      </c>
      <c r="D83" s="2">
        <v>537</v>
      </c>
      <c r="E83" s="1">
        <v>2985.22</v>
      </c>
      <c r="F83" s="1">
        <f>Tabela1[[#This Row],[PR.CUSTO+FRETE]]-Tabela1[[#This Row],[FRETE]]</f>
        <v>2378.9469999999997</v>
      </c>
      <c r="G83" s="1">
        <v>5029.8500000000004</v>
      </c>
      <c r="H83" s="1">
        <f>Tabela1[[#This Row],[PESO UND]]/1000*(1129)</f>
        <v>606.27300000000002</v>
      </c>
      <c r="I83" s="1"/>
    </row>
    <row r="84" spans="1:9" x14ac:dyDescent="0.25">
      <c r="A84">
        <v>1311</v>
      </c>
      <c r="B84" t="s">
        <v>77</v>
      </c>
      <c r="C84" t="str">
        <f t="shared" si="1"/>
        <v>32,5</v>
      </c>
      <c r="D84" s="2">
        <v>25.2</v>
      </c>
      <c r="E84" s="1">
        <v>1216.28</v>
      </c>
      <c r="F84" s="1">
        <f>Tabela1[[#This Row],[PR.CUSTO+FRETE]]-Tabela1[[#This Row],[FRETE]]</f>
        <v>1187.8291999999999</v>
      </c>
      <c r="G84" s="1">
        <v>1875.12</v>
      </c>
      <c r="H84" s="1">
        <f>Tabela1[[#This Row],[PESO UND]]/1000*(1129)</f>
        <v>28.450800000000001</v>
      </c>
      <c r="I84" s="1"/>
    </row>
    <row r="85" spans="1:9" x14ac:dyDescent="0.25">
      <c r="A85">
        <v>1310</v>
      </c>
      <c r="B85" t="s">
        <v>78</v>
      </c>
      <c r="C85" t="str">
        <f t="shared" si="1"/>
        <v>32,5</v>
      </c>
      <c r="D85" s="2">
        <v>213.5</v>
      </c>
      <c r="E85" s="1">
        <v>4030.42</v>
      </c>
      <c r="F85" s="1">
        <f>Tabela1[[#This Row],[PR.CUSTO+FRETE]]-Tabela1[[#This Row],[FRETE]]</f>
        <v>3789.3785000000003</v>
      </c>
      <c r="G85" s="1">
        <v>5981.81</v>
      </c>
      <c r="H85" s="1">
        <f>Tabela1[[#This Row],[PESO UND]]/1000*(1129)</f>
        <v>241.04149999999998</v>
      </c>
      <c r="I85" s="1"/>
    </row>
    <row r="86" spans="1:9" x14ac:dyDescent="0.25">
      <c r="A86">
        <v>1309</v>
      </c>
      <c r="B86" t="s">
        <v>79</v>
      </c>
      <c r="C86" t="str">
        <f t="shared" si="1"/>
        <v>32,5</v>
      </c>
      <c r="D86" s="2">
        <v>213.5</v>
      </c>
      <c r="E86" s="1">
        <v>3892.72</v>
      </c>
      <c r="F86" s="1">
        <f>Tabela1[[#This Row],[PR.CUSTO+FRETE]]-Tabela1[[#This Row],[FRETE]]</f>
        <v>3651.6785</v>
      </c>
      <c r="G86" s="1">
        <v>5764.44</v>
      </c>
      <c r="H86" s="1">
        <f>Tabela1[[#This Row],[PESO UND]]/1000*(1129)</f>
        <v>241.04149999999998</v>
      </c>
      <c r="I86" s="1"/>
    </row>
    <row r="87" spans="1:9" x14ac:dyDescent="0.25">
      <c r="A87">
        <v>155</v>
      </c>
      <c r="B87" t="s">
        <v>80</v>
      </c>
      <c r="C87" t="str">
        <f t="shared" si="1"/>
        <v/>
      </c>
      <c r="D87" s="2">
        <v>45</v>
      </c>
      <c r="E87" s="1">
        <v>1964.45</v>
      </c>
      <c r="F87" s="1">
        <f>Tabela1[[#This Row],[PR.CUSTO+FRETE]]-Tabela1[[#This Row],[FRETE]]</f>
        <v>1913.645</v>
      </c>
      <c r="G87" s="1">
        <v>3020.89</v>
      </c>
      <c r="H87" s="1">
        <f>Tabela1[[#This Row],[PESO UND]]/1000*(1129)</f>
        <v>50.805</v>
      </c>
      <c r="I87" s="1"/>
    </row>
    <row r="88" spans="1:9" x14ac:dyDescent="0.25">
      <c r="A88">
        <v>154</v>
      </c>
      <c r="B88" t="s">
        <v>81</v>
      </c>
      <c r="C88" t="str">
        <f t="shared" si="1"/>
        <v/>
      </c>
      <c r="D88" s="2">
        <v>0</v>
      </c>
      <c r="E88" s="1">
        <v>1615.75</v>
      </c>
      <c r="F88" s="1">
        <f>Tabela1[[#This Row],[PR.CUSTO+FRETE]]-Tabela1[[#This Row],[FRETE]]</f>
        <v>1615.75</v>
      </c>
      <c r="G88" s="1">
        <v>2532.7800000000002</v>
      </c>
      <c r="H88" s="1">
        <f>Tabela1[[#This Row],[PESO UND]]/1000*(1129)</f>
        <v>0</v>
      </c>
      <c r="I88" s="1"/>
    </row>
    <row r="89" spans="1:9" x14ac:dyDescent="0.25">
      <c r="A89">
        <v>153</v>
      </c>
      <c r="B89" t="s">
        <v>82</v>
      </c>
      <c r="C89" t="str">
        <f t="shared" si="1"/>
        <v/>
      </c>
      <c r="D89" s="2">
        <v>97.4</v>
      </c>
      <c r="E89" s="1">
        <v>2071.2399999999998</v>
      </c>
      <c r="F89" s="1">
        <f>Tabela1[[#This Row],[PR.CUSTO+FRETE]]-Tabela1[[#This Row],[FRETE]]</f>
        <v>1961.2753999999998</v>
      </c>
      <c r="G89" s="1">
        <v>3078.2</v>
      </c>
      <c r="H89" s="1">
        <f>Tabela1[[#This Row],[PESO UND]]/1000*(1129)</f>
        <v>109.9646</v>
      </c>
      <c r="I89" s="1"/>
    </row>
    <row r="90" spans="1:9" x14ac:dyDescent="0.25">
      <c r="A90">
        <v>152</v>
      </c>
      <c r="B90" t="s">
        <v>83</v>
      </c>
      <c r="C90" t="str">
        <f t="shared" si="1"/>
        <v/>
      </c>
      <c r="D90" s="2">
        <v>97.4</v>
      </c>
      <c r="E90" s="1">
        <v>2002.08</v>
      </c>
      <c r="F90" s="1">
        <f>Tabela1[[#This Row],[PR.CUSTO+FRETE]]-Tabela1[[#This Row],[FRETE]]</f>
        <v>1892.1153999999999</v>
      </c>
      <c r="G90" s="1">
        <v>2969.03</v>
      </c>
      <c r="H90" s="1">
        <f>Tabela1[[#This Row],[PESO UND]]/1000*(1129)</f>
        <v>109.9646</v>
      </c>
      <c r="I90" s="1"/>
    </row>
    <row r="91" spans="1:9" x14ac:dyDescent="0.25">
      <c r="A91">
        <v>527</v>
      </c>
      <c r="B91" t="s">
        <v>938</v>
      </c>
      <c r="C91" t="str">
        <f t="shared" si="1"/>
        <v>85,0</v>
      </c>
      <c r="D91" s="2">
        <v>7668.98</v>
      </c>
      <c r="E91" s="1">
        <v>47373.120000000003</v>
      </c>
      <c r="F91" s="1">
        <f>Tabela1[[#This Row],[PR.CUSTO+FRETE]]-Tabela1[[#This Row],[FRETE]]</f>
        <v>38714.841580000008</v>
      </c>
      <c r="G91" s="1">
        <v>77576.3</v>
      </c>
      <c r="H91" s="1">
        <f>Tabela1[[#This Row],[PESO UND]]/1000*(1129)</f>
        <v>8658.2784199999987</v>
      </c>
      <c r="I91" s="1"/>
    </row>
    <row r="92" spans="1:9" x14ac:dyDescent="0.25">
      <c r="A92">
        <v>531</v>
      </c>
      <c r="B92" t="s">
        <v>84</v>
      </c>
      <c r="D92" s="2">
        <v>1944</v>
      </c>
      <c r="E92" s="1">
        <v>10044.709999999999</v>
      </c>
      <c r="F92" s="1">
        <f>Tabela1[[#This Row],[PR.CUSTO+FRETE]]-Tabela1[[#This Row],[FRETE]]</f>
        <v>7849.9339999999993</v>
      </c>
      <c r="G92" s="1">
        <v>16817.28</v>
      </c>
      <c r="H92" s="1">
        <f>Tabela1[[#This Row],[PESO UND]]/1000*(1129)</f>
        <v>2194.7759999999998</v>
      </c>
      <c r="I92" s="1"/>
    </row>
    <row r="93" spans="1:9" x14ac:dyDescent="0.25">
      <c r="A93">
        <v>530</v>
      </c>
      <c r="B93" t="s">
        <v>85</v>
      </c>
      <c r="D93" s="2">
        <v>75</v>
      </c>
      <c r="E93" s="1">
        <v>3274.08</v>
      </c>
      <c r="F93" s="1">
        <f>Tabela1[[#This Row],[PR.CUSTO+FRETE]]-Tabela1[[#This Row],[FRETE]]</f>
        <v>3189.4049999999997</v>
      </c>
      <c r="G93" s="1">
        <v>5034.82</v>
      </c>
      <c r="H93" s="1">
        <f>Tabela1[[#This Row],[PESO UND]]/1000*(1129)</f>
        <v>84.674999999999997</v>
      </c>
      <c r="I93" s="1"/>
    </row>
    <row r="94" spans="1:9" x14ac:dyDescent="0.25">
      <c r="A94">
        <v>529</v>
      </c>
      <c r="B94" t="s">
        <v>86</v>
      </c>
      <c r="D94" s="2">
        <v>496.8</v>
      </c>
      <c r="E94" s="1">
        <v>9267.73</v>
      </c>
      <c r="F94" s="1">
        <f>Tabela1[[#This Row],[PR.CUSTO+FRETE]]-Tabela1[[#This Row],[FRETE]]</f>
        <v>8706.8428000000004</v>
      </c>
      <c r="G94" s="1">
        <v>13744.36</v>
      </c>
      <c r="H94" s="1">
        <f>Tabela1[[#This Row],[PESO UND]]/1000*(1129)</f>
        <v>560.88720000000001</v>
      </c>
      <c r="I94" s="1"/>
    </row>
    <row r="95" spans="1:9" x14ac:dyDescent="0.25">
      <c r="A95">
        <v>528</v>
      </c>
      <c r="B95" t="s">
        <v>87</v>
      </c>
      <c r="D95" s="2">
        <v>496.8</v>
      </c>
      <c r="E95" s="1">
        <v>8917.51</v>
      </c>
      <c r="F95" s="1">
        <f>Tabela1[[#This Row],[PR.CUSTO+FRETE]]-Tabela1[[#This Row],[FRETE]]</f>
        <v>8356.622800000001</v>
      </c>
      <c r="G95" s="1">
        <v>13191.51</v>
      </c>
      <c r="H95" s="1">
        <f>Tabela1[[#This Row],[PESO UND]]/1000*(1129)</f>
        <v>560.88720000000001</v>
      </c>
      <c r="I95" s="1"/>
    </row>
    <row r="96" spans="1:9" x14ac:dyDescent="0.25">
      <c r="A96">
        <v>563</v>
      </c>
      <c r="B96" t="s">
        <v>88</v>
      </c>
      <c r="D96" s="2">
        <v>1631</v>
      </c>
      <c r="E96" s="1">
        <v>8442.24</v>
      </c>
      <c r="F96" s="1">
        <f>Tabela1[[#This Row],[PR.CUSTO+FRETE]]-Tabela1[[#This Row],[FRETE]]</f>
        <v>6600.8409999999994</v>
      </c>
      <c r="G96" s="1">
        <v>14132.64</v>
      </c>
      <c r="H96" s="1">
        <f>Tabela1[[#This Row],[PESO UND]]/1000*(1129)</f>
        <v>1841.3990000000001</v>
      </c>
      <c r="I96" s="1"/>
    </row>
    <row r="97" spans="1:9" x14ac:dyDescent="0.25">
      <c r="A97">
        <v>420</v>
      </c>
      <c r="B97" t="s">
        <v>939</v>
      </c>
      <c r="C97" t="str">
        <f t="shared" si="1"/>
        <v>165,</v>
      </c>
      <c r="D97" s="2">
        <v>17992</v>
      </c>
      <c r="E97" s="1">
        <v>95884.91</v>
      </c>
      <c r="F97" s="1">
        <f>Tabela1[[#This Row],[PR.CUSTO+FRETE]]-Tabela1[[#This Row],[FRETE]]</f>
        <v>75571.94200000001</v>
      </c>
      <c r="G97" s="1">
        <v>155079.52999999991</v>
      </c>
      <c r="H97" s="1">
        <f>Tabela1[[#This Row],[PESO UND]]/1000*(1129)</f>
        <v>20312.968000000001</v>
      </c>
      <c r="I97" s="1"/>
    </row>
    <row r="98" spans="1:9" x14ac:dyDescent="0.25">
      <c r="A98">
        <v>424</v>
      </c>
      <c r="B98" t="s">
        <v>940</v>
      </c>
      <c r="C98" t="str">
        <f t="shared" si="1"/>
        <v>165,</v>
      </c>
      <c r="D98" s="2">
        <v>4215</v>
      </c>
      <c r="E98" s="1">
        <v>21874.89</v>
      </c>
      <c r="F98" s="1">
        <f>Tabela1[[#This Row],[PR.CUSTO+FRETE]]-Tabela1[[#This Row],[FRETE]]</f>
        <v>17116.154999999999</v>
      </c>
      <c r="G98" s="1">
        <v>36612.800000000003</v>
      </c>
      <c r="H98" s="1">
        <f>Tabela1[[#This Row],[PESO UND]]/1000*(1129)</f>
        <v>4758.7349999999997</v>
      </c>
      <c r="I98" s="1"/>
    </row>
    <row r="99" spans="1:9" x14ac:dyDescent="0.25">
      <c r="A99">
        <v>423</v>
      </c>
      <c r="B99" t="s">
        <v>89</v>
      </c>
      <c r="C99" t="str">
        <f t="shared" si="1"/>
        <v>165M</v>
      </c>
      <c r="D99" s="2">
        <v>153.75</v>
      </c>
      <c r="E99" s="1">
        <v>6711.85</v>
      </c>
      <c r="F99" s="1">
        <f>Tabela1[[#This Row],[PR.CUSTO+FRETE]]-Tabela1[[#This Row],[FRETE]]</f>
        <v>6538.2662500000006</v>
      </c>
      <c r="G99" s="1">
        <v>10321.39</v>
      </c>
      <c r="H99" s="1">
        <f>Tabela1[[#This Row],[PESO UND]]/1000*(1129)</f>
        <v>173.58375000000001</v>
      </c>
      <c r="I99" s="1"/>
    </row>
    <row r="100" spans="1:9" x14ac:dyDescent="0.25">
      <c r="A100">
        <v>422</v>
      </c>
      <c r="B100" t="s">
        <v>90</v>
      </c>
      <c r="C100" t="str">
        <f t="shared" si="1"/>
        <v>165M</v>
      </c>
      <c r="D100" s="2">
        <v>822.8</v>
      </c>
      <c r="E100" s="1">
        <v>15367.33</v>
      </c>
      <c r="F100" s="1">
        <f>Tabela1[[#This Row],[PR.CUSTO+FRETE]]-Tabela1[[#This Row],[FRETE]]</f>
        <v>14438.388800000001</v>
      </c>
      <c r="G100" s="1">
        <v>22792.04</v>
      </c>
      <c r="H100" s="1">
        <f>Tabela1[[#This Row],[PESO UND]]/1000*(1129)</f>
        <v>928.94119999999998</v>
      </c>
      <c r="I100" s="1"/>
    </row>
    <row r="101" spans="1:9" x14ac:dyDescent="0.25">
      <c r="A101">
        <v>421</v>
      </c>
      <c r="B101" t="s">
        <v>91</v>
      </c>
      <c r="C101" t="str">
        <f t="shared" si="1"/>
        <v>165M</v>
      </c>
      <c r="D101" s="2">
        <v>822.8</v>
      </c>
      <c r="E101" s="1">
        <v>14786.85</v>
      </c>
      <c r="F101" s="1">
        <f>Tabela1[[#This Row],[PR.CUSTO+FRETE]]-Tabela1[[#This Row],[FRETE]]</f>
        <v>13857.908800000001</v>
      </c>
      <c r="G101" s="1">
        <v>21875.69</v>
      </c>
      <c r="H101" s="1">
        <f>Tabela1[[#This Row],[PESO UND]]/1000*(1129)</f>
        <v>928.94119999999998</v>
      </c>
      <c r="I101" s="1"/>
    </row>
    <row r="102" spans="1:9" x14ac:dyDescent="0.25">
      <c r="A102">
        <v>215</v>
      </c>
      <c r="B102" t="s">
        <v>92</v>
      </c>
      <c r="C102" t="str">
        <f t="shared" si="1"/>
        <v>151,</v>
      </c>
      <c r="D102" s="2">
        <v>10194.36</v>
      </c>
      <c r="E102" s="1">
        <v>60794.15</v>
      </c>
      <c r="F102" s="1">
        <f>Tabela1[[#This Row],[PR.CUSTO+FRETE]]-Tabela1[[#This Row],[FRETE]]</f>
        <v>49284.717559999997</v>
      </c>
      <c r="G102" s="1">
        <v>99566.23</v>
      </c>
      <c r="H102" s="1">
        <f>Tabela1[[#This Row],[PESO UND]]/1000*(1129)</f>
        <v>11509.432440000002</v>
      </c>
      <c r="I102" s="1"/>
    </row>
    <row r="103" spans="1:9" x14ac:dyDescent="0.25">
      <c r="A103">
        <v>217</v>
      </c>
      <c r="B103" t="s">
        <v>93</v>
      </c>
      <c r="C103" t="str">
        <f t="shared" si="1"/>
        <v>151,</v>
      </c>
      <c r="D103" s="2">
        <v>3154.4</v>
      </c>
      <c r="E103" s="1">
        <v>16737.990000000002</v>
      </c>
      <c r="F103" s="1">
        <f>Tabela1[[#This Row],[PR.CUSTO+FRETE]]-Tabela1[[#This Row],[FRETE]]</f>
        <v>13176.672400000001</v>
      </c>
      <c r="G103" s="1">
        <v>28587.83</v>
      </c>
      <c r="H103" s="1">
        <f>Tabela1[[#This Row],[PESO UND]]/1000*(1129)</f>
        <v>3561.3175999999999</v>
      </c>
      <c r="I103" s="1"/>
    </row>
    <row r="104" spans="1:9" x14ac:dyDescent="0.25">
      <c r="A104">
        <v>216</v>
      </c>
      <c r="B104" t="s">
        <v>94</v>
      </c>
      <c r="C104" t="str">
        <f t="shared" si="1"/>
        <v>151,</v>
      </c>
      <c r="D104" s="2">
        <v>537.4</v>
      </c>
      <c r="E104" s="1">
        <v>3408.38</v>
      </c>
      <c r="F104" s="1">
        <f>Tabela1[[#This Row],[PR.CUSTO+FRETE]]-Tabela1[[#This Row],[FRETE]]</f>
        <v>2801.6554000000001</v>
      </c>
      <c r="G104" s="1">
        <v>6029.71</v>
      </c>
      <c r="H104" s="1">
        <f>Tabela1[[#This Row],[PESO UND]]/1000*(1129)</f>
        <v>606.72460000000001</v>
      </c>
      <c r="I104" s="1"/>
    </row>
    <row r="105" spans="1:9" x14ac:dyDescent="0.25">
      <c r="A105">
        <v>221</v>
      </c>
      <c r="B105" t="s">
        <v>95</v>
      </c>
      <c r="C105" t="str">
        <f t="shared" si="1"/>
        <v>151,</v>
      </c>
      <c r="D105" s="2">
        <v>2217.5</v>
      </c>
      <c r="E105" s="1">
        <v>12158.8</v>
      </c>
      <c r="F105" s="1">
        <f>Tabela1[[#This Row],[PR.CUSTO+FRETE]]-Tabela1[[#This Row],[FRETE]]</f>
        <v>9655.2425000000003</v>
      </c>
      <c r="G105" s="1">
        <v>20275.91</v>
      </c>
      <c r="H105" s="1">
        <f>Tabela1[[#This Row],[PESO UND]]/1000*(1129)</f>
        <v>2503.5574999999999</v>
      </c>
      <c r="I105" s="1"/>
    </row>
    <row r="106" spans="1:9" x14ac:dyDescent="0.25">
      <c r="A106">
        <v>220</v>
      </c>
      <c r="B106" t="s">
        <v>96</v>
      </c>
      <c r="C106" t="str">
        <f t="shared" si="1"/>
        <v>151,</v>
      </c>
      <c r="D106" s="2">
        <v>71.25</v>
      </c>
      <c r="E106" s="1">
        <v>3110.37</v>
      </c>
      <c r="F106" s="1">
        <f>Tabela1[[#This Row],[PR.CUSTO+FRETE]]-Tabela1[[#This Row],[FRETE]]</f>
        <v>3029.92875</v>
      </c>
      <c r="G106" s="1">
        <v>4783.08</v>
      </c>
      <c r="H106" s="1">
        <f>Tabela1[[#This Row],[PESO UND]]/1000*(1129)</f>
        <v>80.441249999999997</v>
      </c>
      <c r="I106" s="1"/>
    </row>
    <row r="107" spans="1:9" x14ac:dyDescent="0.25">
      <c r="A107">
        <v>219</v>
      </c>
      <c r="B107" t="s">
        <v>97</v>
      </c>
      <c r="C107" t="str">
        <f t="shared" si="1"/>
        <v>151,</v>
      </c>
      <c r="D107" s="2">
        <v>692</v>
      </c>
      <c r="E107" s="1">
        <v>12888.43</v>
      </c>
      <c r="F107" s="1">
        <f>Tabela1[[#This Row],[PR.CUSTO+FRETE]]-Tabela1[[#This Row],[FRETE]]</f>
        <v>12107.162</v>
      </c>
      <c r="G107" s="1">
        <v>19112.009999999998</v>
      </c>
      <c r="H107" s="1">
        <f>Tabela1[[#This Row],[PESO UND]]/1000*(1129)</f>
        <v>781.26799999999992</v>
      </c>
      <c r="I107" s="1"/>
    </row>
    <row r="108" spans="1:9" x14ac:dyDescent="0.25">
      <c r="A108">
        <v>218</v>
      </c>
      <c r="B108" t="s">
        <v>98</v>
      </c>
      <c r="C108" t="str">
        <f t="shared" si="1"/>
        <v>151,</v>
      </c>
      <c r="D108" s="2">
        <v>692</v>
      </c>
      <c r="E108" s="1">
        <v>12401.12</v>
      </c>
      <c r="F108" s="1">
        <f>Tabela1[[#This Row],[PR.CUSTO+FRETE]]-Tabela1[[#This Row],[FRETE]]</f>
        <v>11619.852000000001</v>
      </c>
      <c r="G108" s="1">
        <v>18342.75</v>
      </c>
      <c r="H108" s="1">
        <f>Tabela1[[#This Row],[PESO UND]]/1000*(1129)</f>
        <v>781.26799999999992</v>
      </c>
      <c r="I108" s="1"/>
    </row>
    <row r="109" spans="1:9" x14ac:dyDescent="0.25">
      <c r="A109">
        <v>484</v>
      </c>
      <c r="B109" t="s">
        <v>99</v>
      </c>
      <c r="C109" t="str">
        <f t="shared" si="1"/>
        <v>112,</v>
      </c>
      <c r="D109" s="2">
        <v>11354.12</v>
      </c>
      <c r="E109" s="1">
        <v>64942.2</v>
      </c>
      <c r="F109" s="1">
        <f>Tabela1[[#This Row],[PR.CUSTO+FRETE]]-Tabela1[[#This Row],[FRETE]]</f>
        <v>52123.398519999995</v>
      </c>
      <c r="G109" s="1">
        <v>107081.63</v>
      </c>
      <c r="H109" s="1">
        <f>Tabela1[[#This Row],[PESO UND]]/1000*(1129)</f>
        <v>12818.80148</v>
      </c>
      <c r="I109" s="1"/>
    </row>
    <row r="110" spans="1:9" x14ac:dyDescent="0.25">
      <c r="A110">
        <v>488</v>
      </c>
      <c r="B110" t="s">
        <v>100</v>
      </c>
      <c r="C110" t="str">
        <f t="shared" si="1"/>
        <v>112,</v>
      </c>
      <c r="D110" s="2">
        <v>2720.5</v>
      </c>
      <c r="E110" s="1">
        <v>14080.68</v>
      </c>
      <c r="F110" s="1">
        <f>Tabela1[[#This Row],[PR.CUSTO+FRETE]]-Tabela1[[#This Row],[FRETE]]</f>
        <v>11009.235500000001</v>
      </c>
      <c r="G110" s="1">
        <v>23571.73</v>
      </c>
      <c r="H110" s="1">
        <f>Tabela1[[#This Row],[PESO UND]]/1000*(1129)</f>
        <v>3071.4445000000001</v>
      </c>
      <c r="I110" s="1"/>
    </row>
    <row r="111" spans="1:9" x14ac:dyDescent="0.25">
      <c r="A111">
        <v>487</v>
      </c>
      <c r="B111" t="s">
        <v>101</v>
      </c>
      <c r="C111" t="str">
        <f t="shared" si="1"/>
        <v>112,</v>
      </c>
      <c r="D111" s="2">
        <v>97.5</v>
      </c>
      <c r="E111" s="1">
        <v>4256.3</v>
      </c>
      <c r="F111" s="1">
        <f>Tabela1[[#This Row],[PR.CUSTO+FRETE]]-Tabela1[[#This Row],[FRETE]]</f>
        <v>4146.2224999999999</v>
      </c>
      <c r="G111" s="1">
        <v>6545.27</v>
      </c>
      <c r="H111" s="1">
        <f>Tabela1[[#This Row],[PESO UND]]/1000*(1129)</f>
        <v>110.0775</v>
      </c>
      <c r="I111" s="1"/>
    </row>
    <row r="112" spans="1:9" x14ac:dyDescent="0.25">
      <c r="A112">
        <v>486</v>
      </c>
      <c r="B112" t="s">
        <v>102</v>
      </c>
      <c r="C112" t="str">
        <f t="shared" si="1"/>
        <v>112,</v>
      </c>
      <c r="D112" s="2">
        <v>475.4</v>
      </c>
      <c r="E112" s="1">
        <v>8878.32</v>
      </c>
      <c r="F112" s="1">
        <f>Tabela1[[#This Row],[PR.CUSTO+FRETE]]-Tabela1[[#This Row],[FRETE]]</f>
        <v>8341.5933999999997</v>
      </c>
      <c r="G112" s="1">
        <v>13167.79</v>
      </c>
      <c r="H112" s="1">
        <f>Tabela1[[#This Row],[PESO UND]]/1000*(1129)</f>
        <v>536.72659999999996</v>
      </c>
      <c r="I112" s="1"/>
    </row>
    <row r="113" spans="1:9" x14ac:dyDescent="0.25">
      <c r="A113">
        <v>485</v>
      </c>
      <c r="B113" t="s">
        <v>103</v>
      </c>
      <c r="C113" t="str">
        <f t="shared" si="1"/>
        <v>112,</v>
      </c>
      <c r="D113" s="2">
        <v>475.4</v>
      </c>
      <c r="E113" s="1">
        <v>8542.94</v>
      </c>
      <c r="F113" s="1">
        <f>Tabela1[[#This Row],[PR.CUSTO+FRETE]]-Tabela1[[#This Row],[FRETE]]</f>
        <v>8006.2134000000005</v>
      </c>
      <c r="G113" s="1">
        <v>12638.37</v>
      </c>
      <c r="H113" s="1">
        <f>Tabela1[[#This Row],[PESO UND]]/1000*(1129)</f>
        <v>536.72659999999996</v>
      </c>
      <c r="I113" s="1"/>
    </row>
    <row r="114" spans="1:9" x14ac:dyDescent="0.25">
      <c r="A114">
        <v>1125</v>
      </c>
      <c r="B114" t="s">
        <v>104</v>
      </c>
      <c r="C114" t="str">
        <f t="shared" si="1"/>
        <v>86,9</v>
      </c>
      <c r="D114" s="2">
        <v>1403.5</v>
      </c>
      <c r="E114" s="1">
        <v>7362.19</v>
      </c>
      <c r="F114" s="1">
        <f>Tabela1[[#This Row],[PR.CUSTO+FRETE]]-Tabela1[[#This Row],[FRETE]]</f>
        <v>5777.6384999999991</v>
      </c>
      <c r="G114" s="1">
        <v>12313.37</v>
      </c>
      <c r="H114" s="1">
        <f>Tabela1[[#This Row],[PESO UND]]/1000*(1129)</f>
        <v>1584.5515</v>
      </c>
      <c r="I114" s="1"/>
    </row>
    <row r="115" spans="1:9" x14ac:dyDescent="0.25">
      <c r="A115">
        <v>400</v>
      </c>
      <c r="B115" t="s">
        <v>105</v>
      </c>
      <c r="C115" t="str">
        <f t="shared" si="1"/>
        <v>97,7</v>
      </c>
      <c r="D115" s="2">
        <v>8692.9500000000007</v>
      </c>
      <c r="E115" s="1">
        <v>46878.63</v>
      </c>
      <c r="F115" s="1">
        <f>Tabela1[[#This Row],[PR.CUSTO+FRETE]]-Tabela1[[#This Row],[FRETE]]</f>
        <v>37064.289449999997</v>
      </c>
      <c r="G115" s="1">
        <v>76998.070000000007</v>
      </c>
      <c r="H115" s="1">
        <f>Tabela1[[#This Row],[PESO UND]]/1000*(1129)</f>
        <v>9814.3405500000008</v>
      </c>
      <c r="I115" s="1"/>
    </row>
    <row r="116" spans="1:9" x14ac:dyDescent="0.25">
      <c r="A116">
        <v>404</v>
      </c>
      <c r="B116" t="s">
        <v>106</v>
      </c>
      <c r="C116" t="str">
        <f t="shared" si="1"/>
        <v>97,7</v>
      </c>
      <c r="D116" s="2">
        <v>1775</v>
      </c>
      <c r="E116" s="1">
        <v>9242.39</v>
      </c>
      <c r="F116" s="1">
        <f>Tabela1[[#This Row],[PR.CUSTO+FRETE]]-Tabela1[[#This Row],[FRETE]]</f>
        <v>7238.4149999999991</v>
      </c>
      <c r="G116" s="1">
        <v>15465.82</v>
      </c>
      <c r="H116" s="1">
        <f>Tabela1[[#This Row],[PESO UND]]/1000*(1129)</f>
        <v>2003.9749999999999</v>
      </c>
      <c r="I116" s="1"/>
    </row>
    <row r="117" spans="1:9" x14ac:dyDescent="0.25">
      <c r="A117">
        <v>403</v>
      </c>
      <c r="B117" t="s">
        <v>107</v>
      </c>
      <c r="C117" t="str">
        <f t="shared" si="1"/>
        <v>97,7</v>
      </c>
      <c r="D117" s="2">
        <v>71.25</v>
      </c>
      <c r="E117" s="1">
        <v>3110.37</v>
      </c>
      <c r="F117" s="1">
        <f>Tabela1[[#This Row],[PR.CUSTO+FRETE]]-Tabela1[[#This Row],[FRETE]]</f>
        <v>3029.92875</v>
      </c>
      <c r="G117" s="1">
        <v>4783.08</v>
      </c>
      <c r="H117" s="1">
        <f>Tabela1[[#This Row],[PESO UND]]/1000*(1129)</f>
        <v>80.441249999999997</v>
      </c>
      <c r="I117" s="1"/>
    </row>
    <row r="118" spans="1:9" x14ac:dyDescent="0.25">
      <c r="A118">
        <v>402</v>
      </c>
      <c r="B118" t="s">
        <v>108</v>
      </c>
      <c r="C118" t="str">
        <f t="shared" si="1"/>
        <v>97,7</v>
      </c>
      <c r="D118" s="2">
        <v>609.6</v>
      </c>
      <c r="E118" s="1">
        <v>11367.55</v>
      </c>
      <c r="F118" s="1">
        <f>Tabela1[[#This Row],[PR.CUSTO+FRETE]]-Tabela1[[#This Row],[FRETE]]</f>
        <v>10679.311599999999</v>
      </c>
      <c r="G118" s="1">
        <v>16858.060000000001</v>
      </c>
      <c r="H118" s="1">
        <f>Tabela1[[#This Row],[PESO UND]]/1000*(1129)</f>
        <v>688.23840000000007</v>
      </c>
      <c r="I118" s="1"/>
    </row>
    <row r="119" spans="1:9" x14ac:dyDescent="0.25">
      <c r="A119">
        <v>401</v>
      </c>
      <c r="B119" t="s">
        <v>109</v>
      </c>
      <c r="C119" t="str">
        <f t="shared" si="1"/>
        <v>97,7</v>
      </c>
      <c r="D119" s="2">
        <v>609.6</v>
      </c>
      <c r="E119" s="1">
        <v>10937.92</v>
      </c>
      <c r="F119" s="1">
        <f>Tabela1[[#This Row],[PR.CUSTO+FRETE]]-Tabela1[[#This Row],[FRETE]]</f>
        <v>10249.6816</v>
      </c>
      <c r="G119" s="1">
        <v>16179.86</v>
      </c>
      <c r="H119" s="1">
        <f>Tabela1[[#This Row],[PESO UND]]/1000*(1129)</f>
        <v>688.23840000000007</v>
      </c>
      <c r="I119" s="1"/>
    </row>
    <row r="120" spans="1:9" x14ac:dyDescent="0.25">
      <c r="A120">
        <v>1249</v>
      </c>
      <c r="B120" t="s">
        <v>110</v>
      </c>
      <c r="C120" t="str">
        <f t="shared" si="1"/>
        <v>20,0</v>
      </c>
      <c r="D120" s="2">
        <v>2445.54</v>
      </c>
      <c r="E120" s="1">
        <v>12717.59</v>
      </c>
      <c r="F120" s="1">
        <f>Tabela1[[#This Row],[PR.CUSTO+FRETE]]-Tabela1[[#This Row],[FRETE]]</f>
        <v>9956.5753399999994</v>
      </c>
      <c r="G120" s="1">
        <v>20646.89</v>
      </c>
      <c r="H120" s="1">
        <f>Tabela1[[#This Row],[PESO UND]]/1000*(1129)</f>
        <v>2761.0146599999998</v>
      </c>
      <c r="I120" s="1"/>
    </row>
    <row r="121" spans="1:9" x14ac:dyDescent="0.25">
      <c r="A121">
        <v>1254</v>
      </c>
      <c r="B121" t="s">
        <v>111</v>
      </c>
      <c r="C121" t="str">
        <f t="shared" si="1"/>
        <v>20,0</v>
      </c>
      <c r="D121" s="2">
        <v>119.2</v>
      </c>
      <c r="E121" s="1">
        <v>1003.5</v>
      </c>
      <c r="F121" s="1">
        <f>Tabela1[[#This Row],[PR.CUSTO+FRETE]]-Tabela1[[#This Row],[FRETE]]</f>
        <v>868.92319999999995</v>
      </c>
      <c r="G121" s="1">
        <v>1705.21</v>
      </c>
      <c r="H121" s="1">
        <f>Tabela1[[#This Row],[PESO UND]]/1000*(1129)</f>
        <v>134.57679999999999</v>
      </c>
      <c r="I121" s="1"/>
    </row>
    <row r="122" spans="1:9" x14ac:dyDescent="0.25">
      <c r="A122">
        <v>1253</v>
      </c>
      <c r="B122" t="s">
        <v>112</v>
      </c>
      <c r="C122" t="str">
        <f t="shared" si="1"/>
        <v>20,0</v>
      </c>
      <c r="D122" s="2">
        <v>685.5</v>
      </c>
      <c r="E122" s="1">
        <v>3603.95</v>
      </c>
      <c r="F122" s="1">
        <f>Tabela1[[#This Row],[PR.CUSTO+FRETE]]-Tabela1[[#This Row],[FRETE]]</f>
        <v>2830.0204999999996</v>
      </c>
      <c r="G122" s="1">
        <v>6026.74</v>
      </c>
      <c r="H122" s="1">
        <f>Tabela1[[#This Row],[PESO UND]]/1000*(1129)</f>
        <v>773.92949999999996</v>
      </c>
      <c r="I122" s="1"/>
    </row>
    <row r="123" spans="1:9" x14ac:dyDescent="0.25">
      <c r="A123">
        <v>1252</v>
      </c>
      <c r="B123" t="s">
        <v>113</v>
      </c>
      <c r="C123" t="str">
        <f t="shared" si="1"/>
        <v>20,0</v>
      </c>
      <c r="D123" s="2">
        <v>25.2</v>
      </c>
      <c r="E123" s="1">
        <v>1216.28</v>
      </c>
      <c r="F123" s="1">
        <f>Tabela1[[#This Row],[PR.CUSTO+FRETE]]-Tabela1[[#This Row],[FRETE]]</f>
        <v>1187.8291999999999</v>
      </c>
      <c r="G123" s="1">
        <v>1875.12</v>
      </c>
      <c r="H123" s="1">
        <f>Tabela1[[#This Row],[PESO UND]]/1000*(1129)</f>
        <v>28.450800000000001</v>
      </c>
      <c r="I123" s="1"/>
    </row>
    <row r="124" spans="1:9" x14ac:dyDescent="0.25">
      <c r="A124">
        <v>1251</v>
      </c>
      <c r="B124" t="s">
        <v>114</v>
      </c>
      <c r="C124" t="str">
        <f t="shared" si="1"/>
        <v>20,0</v>
      </c>
      <c r="D124" s="2">
        <v>246.5</v>
      </c>
      <c r="E124" s="1">
        <v>4639.92</v>
      </c>
      <c r="F124" s="1">
        <f>Tabela1[[#This Row],[PR.CUSTO+FRETE]]-Tabela1[[#This Row],[FRETE]]</f>
        <v>4361.6215000000002</v>
      </c>
      <c r="G124" s="1">
        <v>6885.16</v>
      </c>
      <c r="H124" s="1">
        <f>Tabela1[[#This Row],[PESO UND]]/1000*(1129)</f>
        <v>278.29849999999999</v>
      </c>
      <c r="I124" s="1"/>
    </row>
    <row r="125" spans="1:9" x14ac:dyDescent="0.25">
      <c r="A125">
        <v>1250</v>
      </c>
      <c r="B125" t="s">
        <v>115</v>
      </c>
      <c r="C125" t="str">
        <f t="shared" si="1"/>
        <v>20,0</v>
      </c>
      <c r="D125" s="2">
        <v>246.5</v>
      </c>
      <c r="E125" s="1">
        <v>4480.8</v>
      </c>
      <c r="F125" s="1">
        <f>Tabela1[[#This Row],[PR.CUSTO+FRETE]]-Tabela1[[#This Row],[FRETE]]</f>
        <v>4202.5015000000003</v>
      </c>
      <c r="G125" s="1">
        <v>6633.97</v>
      </c>
      <c r="H125" s="1">
        <f>Tabela1[[#This Row],[PESO UND]]/1000*(1129)</f>
        <v>278.29849999999999</v>
      </c>
      <c r="I125" s="1"/>
    </row>
    <row r="126" spans="1:9" x14ac:dyDescent="0.25">
      <c r="A126">
        <v>1211</v>
      </c>
      <c r="B126" t="s">
        <v>116</v>
      </c>
      <c r="C126" t="str">
        <f t="shared" si="1"/>
        <v>54,2</v>
      </c>
      <c r="D126" s="2">
        <v>6161.86</v>
      </c>
      <c r="E126" s="1">
        <v>31819.75</v>
      </c>
      <c r="F126" s="1">
        <f>Tabela1[[#This Row],[PR.CUSTO+FRETE]]-Tabela1[[#This Row],[FRETE]]</f>
        <v>24863.010060000001</v>
      </c>
      <c r="G126" s="1">
        <v>52565.87</v>
      </c>
      <c r="H126" s="1">
        <f>Tabela1[[#This Row],[PESO UND]]/1000*(1129)</f>
        <v>6956.7399399999995</v>
      </c>
      <c r="I126" s="1"/>
    </row>
    <row r="127" spans="1:9" x14ac:dyDescent="0.25">
      <c r="A127">
        <v>1214</v>
      </c>
      <c r="B127" t="s">
        <v>117</v>
      </c>
      <c r="C127" t="str">
        <f t="shared" si="1"/>
        <v>54,2</v>
      </c>
      <c r="D127" s="2">
        <v>61.2</v>
      </c>
      <c r="E127" s="1">
        <v>2953.82</v>
      </c>
      <c r="F127" s="1">
        <f>Tabela1[[#This Row],[PR.CUSTO+FRETE]]-Tabela1[[#This Row],[FRETE]]</f>
        <v>2884.7252000000003</v>
      </c>
      <c r="G127" s="1">
        <v>4553.8599999999997</v>
      </c>
      <c r="H127" s="1">
        <f>Tabela1[[#This Row],[PESO UND]]/1000*(1129)</f>
        <v>69.094800000000006</v>
      </c>
      <c r="I127" s="1"/>
    </row>
    <row r="128" spans="1:9" x14ac:dyDescent="0.25">
      <c r="A128">
        <v>1213</v>
      </c>
      <c r="B128" t="s">
        <v>118</v>
      </c>
      <c r="C128" t="str">
        <f t="shared" si="1"/>
        <v>54,2</v>
      </c>
      <c r="D128" s="2">
        <v>437.7</v>
      </c>
      <c r="E128" s="1">
        <v>8218.26</v>
      </c>
      <c r="F128" s="1">
        <f>Tabela1[[#This Row],[PR.CUSTO+FRETE]]-Tabela1[[#This Row],[FRETE]]</f>
        <v>7724.0967000000001</v>
      </c>
      <c r="G128" s="1">
        <v>12193.04</v>
      </c>
      <c r="H128" s="1">
        <f>Tabela1[[#This Row],[PESO UND]]/1000*(1129)</f>
        <v>494.16329999999999</v>
      </c>
      <c r="I128" s="1"/>
    </row>
    <row r="129" spans="1:9" x14ac:dyDescent="0.25">
      <c r="A129">
        <v>1212</v>
      </c>
      <c r="B129" t="s">
        <v>119</v>
      </c>
      <c r="C129" t="str">
        <f t="shared" si="1"/>
        <v>54,2</v>
      </c>
      <c r="D129" s="2">
        <v>437.7</v>
      </c>
      <c r="E129" s="1">
        <v>7943.47</v>
      </c>
      <c r="F129" s="1">
        <f>Tabela1[[#This Row],[PR.CUSTO+FRETE]]-Tabela1[[#This Row],[FRETE]]</f>
        <v>7449.3067000000001</v>
      </c>
      <c r="G129" s="1">
        <v>11759.25</v>
      </c>
      <c r="H129" s="1">
        <f>Tabela1[[#This Row],[PESO UND]]/1000*(1129)</f>
        <v>494.16329999999999</v>
      </c>
      <c r="I129" s="1"/>
    </row>
    <row r="130" spans="1:9" x14ac:dyDescent="0.25">
      <c r="A130">
        <v>214</v>
      </c>
      <c r="B130" t="s">
        <v>120</v>
      </c>
      <c r="C130" t="str">
        <f t="shared" ref="C130:C193" si="2">IFERROR(MID(B130,FIND("(",B130)+1,4),"")</f>
        <v>64,6</v>
      </c>
      <c r="D130" s="2">
        <v>1482.5</v>
      </c>
      <c r="E130" s="1">
        <v>7853.76</v>
      </c>
      <c r="F130" s="1">
        <f>Tabela1[[#This Row],[PR.CUSTO+FRETE]]-Tabela1[[#This Row],[FRETE]]</f>
        <v>6180.0174999999999</v>
      </c>
      <c r="G130" s="1">
        <v>13126.76</v>
      </c>
      <c r="H130" s="1">
        <f>Tabela1[[#This Row],[PESO UND]]/1000*(1129)</f>
        <v>1673.7424999999998</v>
      </c>
      <c r="I130" s="1"/>
    </row>
    <row r="131" spans="1:9" x14ac:dyDescent="0.25">
      <c r="A131">
        <v>210</v>
      </c>
      <c r="B131" t="s">
        <v>121</v>
      </c>
      <c r="C131" t="str">
        <f t="shared" si="2"/>
        <v>64,8</v>
      </c>
      <c r="D131" s="2">
        <v>1063.3499999999999</v>
      </c>
      <c r="E131" s="1">
        <v>5584.09</v>
      </c>
      <c r="F131" s="1">
        <f>Tabela1[[#This Row],[PR.CUSTO+FRETE]]-Tabela1[[#This Row],[FRETE]]</f>
        <v>4383.5678500000004</v>
      </c>
      <c r="G131" s="1">
        <v>9535.7999999999993</v>
      </c>
      <c r="H131" s="1">
        <f>Tabela1[[#This Row],[PESO UND]]/1000*(1129)</f>
        <v>1200.52215</v>
      </c>
      <c r="I131" s="1"/>
    </row>
    <row r="132" spans="1:9" x14ac:dyDescent="0.25">
      <c r="A132">
        <v>212</v>
      </c>
      <c r="B132" t="s">
        <v>122</v>
      </c>
      <c r="C132" t="str">
        <f t="shared" si="2"/>
        <v>64,8</v>
      </c>
      <c r="D132" s="2">
        <v>384.6</v>
      </c>
      <c r="E132" s="1">
        <v>7239.82</v>
      </c>
      <c r="F132" s="1">
        <f>Tabela1[[#This Row],[PR.CUSTO+FRETE]]-Tabela1[[#This Row],[FRETE]]</f>
        <v>6805.6066000000001</v>
      </c>
      <c r="G132" s="1">
        <v>10743.15</v>
      </c>
      <c r="H132" s="1">
        <f>Tabela1[[#This Row],[PESO UND]]/1000*(1129)</f>
        <v>434.21339999999998</v>
      </c>
      <c r="I132" s="1"/>
    </row>
    <row r="133" spans="1:9" x14ac:dyDescent="0.25">
      <c r="A133">
        <v>211</v>
      </c>
      <c r="B133" t="s">
        <v>123</v>
      </c>
      <c r="C133" t="str">
        <f t="shared" si="2"/>
        <v>64,8</v>
      </c>
      <c r="D133" s="2">
        <v>384.6</v>
      </c>
      <c r="E133" s="1">
        <v>6993.04</v>
      </c>
      <c r="F133" s="1">
        <f>Tabela1[[#This Row],[PR.CUSTO+FRETE]]-Tabela1[[#This Row],[FRETE]]</f>
        <v>6558.8266000000003</v>
      </c>
      <c r="G133" s="1">
        <v>10353.56</v>
      </c>
      <c r="H133" s="1">
        <f>Tabela1[[#This Row],[PESO UND]]/1000*(1129)</f>
        <v>434.21339999999998</v>
      </c>
      <c r="I133" s="1"/>
    </row>
    <row r="134" spans="1:9" x14ac:dyDescent="0.25">
      <c r="A134">
        <v>1098</v>
      </c>
      <c r="B134" t="s">
        <v>124</v>
      </c>
      <c r="C134" t="str">
        <f t="shared" si="2"/>
        <v>64,8</v>
      </c>
      <c r="D134" s="2">
        <v>142.75</v>
      </c>
      <c r="E134" s="1">
        <v>1132.55</v>
      </c>
      <c r="F134" s="1">
        <f>Tabela1[[#This Row],[PR.CUSTO+FRETE]]-Tabela1[[#This Row],[FRETE]]</f>
        <v>971.38524999999993</v>
      </c>
      <c r="G134" s="1">
        <v>1938.11</v>
      </c>
      <c r="H134" s="1">
        <f>Tabela1[[#This Row],[PESO UND]]/1000*(1129)</f>
        <v>161.16475</v>
      </c>
      <c r="I134" s="1"/>
    </row>
    <row r="135" spans="1:9" x14ac:dyDescent="0.25">
      <c r="A135">
        <v>209</v>
      </c>
      <c r="B135" t="s">
        <v>125</v>
      </c>
      <c r="C135" t="str">
        <f t="shared" si="2"/>
        <v>64,8</v>
      </c>
      <c r="D135" s="2">
        <v>6828.39</v>
      </c>
      <c r="E135" s="1">
        <v>35315.339999999997</v>
      </c>
      <c r="F135" s="1">
        <f>Tabela1[[#This Row],[PR.CUSTO+FRETE]]-Tabela1[[#This Row],[FRETE]]</f>
        <v>27606.087689999997</v>
      </c>
      <c r="G135" s="1">
        <v>58150.35</v>
      </c>
      <c r="H135" s="1">
        <f>Tabela1[[#This Row],[PESO UND]]/1000*(1129)</f>
        <v>7709.2523100000008</v>
      </c>
      <c r="I135" s="1"/>
    </row>
    <row r="136" spans="1:9" x14ac:dyDescent="0.25">
      <c r="A136">
        <v>213</v>
      </c>
      <c r="B136" t="s">
        <v>126</v>
      </c>
      <c r="C136" t="str">
        <f t="shared" si="2"/>
        <v>64,8</v>
      </c>
      <c r="D136" s="2">
        <v>52.5</v>
      </c>
      <c r="E136" s="1">
        <v>2291.85</v>
      </c>
      <c r="F136" s="1">
        <f>Tabela1[[#This Row],[PR.CUSTO+FRETE]]-Tabela1[[#This Row],[FRETE]]</f>
        <v>2232.5774999999999</v>
      </c>
      <c r="G136" s="1">
        <v>3524.38</v>
      </c>
      <c r="H136" s="1">
        <f>Tabela1[[#This Row],[PESO UND]]/1000*(1129)</f>
        <v>59.272500000000001</v>
      </c>
      <c r="I136" s="1"/>
    </row>
    <row r="137" spans="1:9" x14ac:dyDescent="0.25">
      <c r="A137">
        <v>1107</v>
      </c>
      <c r="B137" t="s">
        <v>127</v>
      </c>
      <c r="C137" t="str">
        <f t="shared" si="2"/>
        <v>99,9</v>
      </c>
      <c r="D137" s="2">
        <v>10031.77</v>
      </c>
      <c r="E137" s="1">
        <v>51892.51</v>
      </c>
      <c r="F137" s="1">
        <f>Tabela1[[#This Row],[PR.CUSTO+FRETE]]-Tabela1[[#This Row],[FRETE]]</f>
        <v>40566.641670000005</v>
      </c>
      <c r="G137" s="1">
        <v>85585.03</v>
      </c>
      <c r="H137" s="1">
        <f>Tabela1[[#This Row],[PESO UND]]/1000*(1129)</f>
        <v>11325.868329999999</v>
      </c>
      <c r="I137" s="1"/>
    </row>
    <row r="138" spans="1:9" x14ac:dyDescent="0.25">
      <c r="A138">
        <v>1111</v>
      </c>
      <c r="B138" t="s">
        <v>128</v>
      </c>
      <c r="C138" t="str">
        <f t="shared" si="2"/>
        <v>99,9</v>
      </c>
      <c r="D138" s="2">
        <v>2461.5</v>
      </c>
      <c r="E138" s="1">
        <v>12967.61</v>
      </c>
      <c r="F138" s="1">
        <f>Tabela1[[#This Row],[PR.CUSTO+FRETE]]-Tabela1[[#This Row],[FRETE]]</f>
        <v>10188.576500000001</v>
      </c>
      <c r="G138" s="1">
        <v>21682.2</v>
      </c>
      <c r="H138" s="1">
        <f>Tabela1[[#This Row],[PESO UND]]/1000*(1129)</f>
        <v>2779.0335</v>
      </c>
      <c r="I138" s="1"/>
    </row>
    <row r="139" spans="1:9" x14ac:dyDescent="0.25">
      <c r="A139">
        <v>1110</v>
      </c>
      <c r="B139" t="s">
        <v>129</v>
      </c>
      <c r="C139" t="str">
        <f t="shared" si="2"/>
        <v>99,9</v>
      </c>
      <c r="D139" s="2">
        <v>82.5</v>
      </c>
      <c r="E139" s="1">
        <v>3601.48</v>
      </c>
      <c r="F139" s="1">
        <f>Tabela1[[#This Row],[PR.CUSTO+FRETE]]-Tabela1[[#This Row],[FRETE]]</f>
        <v>3508.3375000000001</v>
      </c>
      <c r="G139" s="1">
        <v>5538.3</v>
      </c>
      <c r="H139" s="1">
        <f>Tabela1[[#This Row],[PESO UND]]/1000*(1129)</f>
        <v>93.142499999999998</v>
      </c>
      <c r="I139" s="1"/>
    </row>
    <row r="140" spans="1:9" x14ac:dyDescent="0.25">
      <c r="A140">
        <v>1109</v>
      </c>
      <c r="B140" t="s">
        <v>130</v>
      </c>
      <c r="C140" t="str">
        <f t="shared" si="2"/>
        <v>99,9</v>
      </c>
      <c r="D140" s="2">
        <v>768.8</v>
      </c>
      <c r="E140" s="1">
        <v>14419.61</v>
      </c>
      <c r="F140" s="1">
        <f>Tabela1[[#This Row],[PR.CUSTO+FRETE]]-Tabela1[[#This Row],[FRETE]]</f>
        <v>13551.6348</v>
      </c>
      <c r="G140" s="1">
        <v>21392.23</v>
      </c>
      <c r="H140" s="1">
        <f>Tabela1[[#This Row],[PESO UND]]/1000*(1129)</f>
        <v>867.97519999999997</v>
      </c>
      <c r="I140" s="1"/>
    </row>
    <row r="141" spans="1:9" x14ac:dyDescent="0.25">
      <c r="A141">
        <v>1108</v>
      </c>
      <c r="B141" t="s">
        <v>131</v>
      </c>
      <c r="C141" t="str">
        <f t="shared" si="2"/>
        <v>99,9</v>
      </c>
      <c r="D141" s="2">
        <v>768.8</v>
      </c>
      <c r="E141" s="1">
        <v>13921.74</v>
      </c>
      <c r="F141" s="1">
        <f>Tabela1[[#This Row],[PR.CUSTO+FRETE]]-Tabela1[[#This Row],[FRETE]]</f>
        <v>13053.764799999999</v>
      </c>
      <c r="G141" s="1">
        <v>20606.310000000001</v>
      </c>
      <c r="H141" s="1">
        <f>Tabela1[[#This Row],[PESO UND]]/1000*(1129)</f>
        <v>867.97519999999997</v>
      </c>
      <c r="I141" s="1"/>
    </row>
    <row r="142" spans="1:9" x14ac:dyDescent="0.25">
      <c r="A142">
        <v>702</v>
      </c>
      <c r="B142" t="s">
        <v>132</v>
      </c>
      <c r="C142" t="str">
        <f t="shared" si="2"/>
        <v>300M</v>
      </c>
      <c r="D142" s="2">
        <v>398.45</v>
      </c>
      <c r="E142" s="1">
        <v>3077.93</v>
      </c>
      <c r="F142" s="1">
        <f>Tabela1[[#This Row],[PR.CUSTO+FRETE]]-Tabela1[[#This Row],[FRETE]]</f>
        <v>2628.0799499999998</v>
      </c>
      <c r="G142" s="1">
        <v>5290.05</v>
      </c>
      <c r="H142" s="1">
        <f>Tabela1[[#This Row],[PESO UND]]/1000*(1129)</f>
        <v>449.85004999999995</v>
      </c>
      <c r="I142" s="1"/>
    </row>
    <row r="143" spans="1:9" x14ac:dyDescent="0.25">
      <c r="A143">
        <v>701</v>
      </c>
      <c r="B143" t="s">
        <v>133</v>
      </c>
      <c r="C143" t="str">
        <f t="shared" si="2"/>
        <v>300M</v>
      </c>
      <c r="D143" s="2">
        <v>2800.5</v>
      </c>
      <c r="E143" s="1">
        <v>14693.53</v>
      </c>
      <c r="F143" s="1">
        <f>Tabela1[[#This Row],[PR.CUSTO+FRETE]]-Tabela1[[#This Row],[FRETE]]</f>
        <v>11531.765500000001</v>
      </c>
      <c r="G143" s="1">
        <v>24574.76</v>
      </c>
      <c r="H143" s="1">
        <f>Tabela1[[#This Row],[PESO UND]]/1000*(1129)</f>
        <v>3161.7644999999998</v>
      </c>
      <c r="I143" s="1"/>
    </row>
    <row r="144" spans="1:9" x14ac:dyDescent="0.25">
      <c r="A144">
        <v>697</v>
      </c>
      <c r="B144" t="s">
        <v>134</v>
      </c>
      <c r="C144" t="str">
        <f t="shared" si="2"/>
        <v>300M</v>
      </c>
      <c r="D144" s="2">
        <v>19624.89</v>
      </c>
      <c r="E144" s="1">
        <v>99264.6</v>
      </c>
      <c r="F144" s="1">
        <f>Tabela1[[#This Row],[PR.CUSTO+FRETE]]-Tabela1[[#This Row],[FRETE]]</f>
        <v>77108.099190000008</v>
      </c>
      <c r="G144" s="1">
        <v>165684.09</v>
      </c>
      <c r="H144" s="1">
        <f>Tabela1[[#This Row],[PESO UND]]/1000*(1129)</f>
        <v>22156.500810000001</v>
      </c>
      <c r="I144" s="1"/>
    </row>
    <row r="145" spans="1:9" x14ac:dyDescent="0.25">
      <c r="A145">
        <v>700</v>
      </c>
      <c r="B145" t="s">
        <v>135</v>
      </c>
      <c r="C145" t="str">
        <f t="shared" si="2"/>
        <v>300M</v>
      </c>
      <c r="D145" s="2">
        <v>67.5</v>
      </c>
      <c r="E145" s="1">
        <v>2946.67</v>
      </c>
      <c r="F145" s="1">
        <f>Tabela1[[#This Row],[PR.CUSTO+FRETE]]-Tabela1[[#This Row],[FRETE]]</f>
        <v>2870.4625000000001</v>
      </c>
      <c r="G145" s="1">
        <v>4531.34</v>
      </c>
      <c r="H145" s="1">
        <f>Tabela1[[#This Row],[PESO UND]]/1000*(1129)</f>
        <v>76.20750000000001</v>
      </c>
      <c r="I145" s="1"/>
    </row>
    <row r="146" spans="1:9" x14ac:dyDescent="0.25">
      <c r="A146">
        <v>699</v>
      </c>
      <c r="B146" t="s">
        <v>136</v>
      </c>
      <c r="C146" t="str">
        <f t="shared" si="2"/>
        <v>300M</v>
      </c>
      <c r="D146" s="2">
        <v>1698.2</v>
      </c>
      <c r="E146" s="1">
        <v>31950.78</v>
      </c>
      <c r="F146" s="1">
        <f>Tabela1[[#This Row],[PR.CUSTO+FRETE]]-Tabela1[[#This Row],[FRETE]]</f>
        <v>30033.512199999997</v>
      </c>
      <c r="G146" s="1">
        <v>47410.01</v>
      </c>
      <c r="H146" s="1">
        <f>Tabela1[[#This Row],[PESO UND]]/1000*(1129)</f>
        <v>1917.2678000000001</v>
      </c>
      <c r="I146" s="1"/>
    </row>
    <row r="147" spans="1:9" x14ac:dyDescent="0.25">
      <c r="A147">
        <v>698</v>
      </c>
      <c r="B147" t="s">
        <v>137</v>
      </c>
      <c r="C147" t="str">
        <f t="shared" si="2"/>
        <v>300M</v>
      </c>
      <c r="D147" s="2">
        <v>1698.2</v>
      </c>
      <c r="E147" s="1">
        <v>30871.17</v>
      </c>
      <c r="F147" s="1">
        <f>Tabela1[[#This Row],[PR.CUSTO+FRETE]]-Tabela1[[#This Row],[FRETE]]</f>
        <v>28953.902199999997</v>
      </c>
      <c r="G147" s="1">
        <v>45705.8</v>
      </c>
      <c r="H147" s="1">
        <f>Tabela1[[#This Row],[PESO UND]]/1000*(1129)</f>
        <v>1917.2678000000001</v>
      </c>
      <c r="I147" s="1"/>
    </row>
    <row r="148" spans="1:9" x14ac:dyDescent="0.25">
      <c r="A148">
        <v>177</v>
      </c>
      <c r="B148" t="s">
        <v>138</v>
      </c>
      <c r="C148" t="str">
        <f t="shared" si="2"/>
        <v>77,0</v>
      </c>
      <c r="D148" s="2">
        <v>6608.55</v>
      </c>
      <c r="E148" s="1">
        <v>34460.269999999997</v>
      </c>
      <c r="F148" s="1">
        <f>Tabela1[[#This Row],[PR.CUSTO+FRETE]]-Tabela1[[#This Row],[FRETE]]</f>
        <v>26999.217049999996</v>
      </c>
      <c r="G148" s="1">
        <v>57142.3</v>
      </c>
      <c r="H148" s="1">
        <f>Tabela1[[#This Row],[PESO UND]]/1000*(1129)</f>
        <v>7461.0529500000002</v>
      </c>
      <c r="I148" s="1"/>
    </row>
    <row r="149" spans="1:9" x14ac:dyDescent="0.25">
      <c r="A149">
        <v>181</v>
      </c>
      <c r="B149" t="s">
        <v>139</v>
      </c>
      <c r="C149" t="str">
        <f t="shared" si="2"/>
        <v>77,0</v>
      </c>
      <c r="D149" s="2">
        <v>67.5</v>
      </c>
      <c r="E149" s="1">
        <v>2946.67</v>
      </c>
      <c r="F149" s="1">
        <f>Tabela1[[#This Row],[PR.CUSTO+FRETE]]-Tabela1[[#This Row],[FRETE]]</f>
        <v>2870.4625000000001</v>
      </c>
      <c r="G149" s="1">
        <v>4531.34</v>
      </c>
      <c r="H149" s="1">
        <f>Tabela1[[#This Row],[PESO UND]]/1000*(1129)</f>
        <v>76.20750000000001</v>
      </c>
      <c r="I149" s="1"/>
    </row>
    <row r="150" spans="1:9" x14ac:dyDescent="0.25">
      <c r="A150">
        <v>180</v>
      </c>
      <c r="B150" t="s">
        <v>140</v>
      </c>
      <c r="C150" t="str">
        <f t="shared" si="2"/>
        <v>77,0</v>
      </c>
      <c r="D150" s="2">
        <v>60</v>
      </c>
      <c r="E150" s="1">
        <v>8292.27</v>
      </c>
      <c r="F150" s="1">
        <f>Tabela1[[#This Row],[PR.CUSTO+FRETE]]-Tabela1[[#This Row],[FRETE]]</f>
        <v>8224.5300000000007</v>
      </c>
      <c r="G150" s="1">
        <v>12982.99</v>
      </c>
      <c r="H150" s="1">
        <f>Tabela1[[#This Row],[PESO UND]]/1000*(1129)</f>
        <v>67.739999999999995</v>
      </c>
      <c r="I150" s="1"/>
    </row>
    <row r="151" spans="1:9" x14ac:dyDescent="0.25">
      <c r="A151">
        <v>179</v>
      </c>
      <c r="B151" t="s">
        <v>141</v>
      </c>
      <c r="C151" t="str">
        <f t="shared" si="2"/>
        <v>77,0</v>
      </c>
      <c r="D151" s="2">
        <v>575.1</v>
      </c>
      <c r="E151" s="1">
        <v>10835.82</v>
      </c>
      <c r="F151" s="1">
        <f>Tabela1[[#This Row],[PR.CUSTO+FRETE]]-Tabela1[[#This Row],[FRETE]]</f>
        <v>10186.5321</v>
      </c>
      <c r="G151" s="1">
        <v>16080.18</v>
      </c>
      <c r="H151" s="1">
        <f>Tabela1[[#This Row],[PESO UND]]/1000*(1129)</f>
        <v>649.28790000000004</v>
      </c>
      <c r="I151" s="1"/>
    </row>
    <row r="152" spans="1:9" x14ac:dyDescent="0.25">
      <c r="A152">
        <v>178</v>
      </c>
      <c r="B152" t="s">
        <v>142</v>
      </c>
      <c r="C152" t="str">
        <f t="shared" si="2"/>
        <v>77,0</v>
      </c>
      <c r="D152" s="2">
        <v>575.1</v>
      </c>
      <c r="E152" s="1">
        <v>10472.75</v>
      </c>
      <c r="F152" s="1">
        <f>Tabela1[[#This Row],[PR.CUSTO+FRETE]]-Tabela1[[#This Row],[FRETE]]</f>
        <v>9823.4621000000006</v>
      </c>
      <c r="G152" s="1">
        <v>15507.04</v>
      </c>
      <c r="H152" s="1">
        <f>Tabela1[[#This Row],[PESO UND]]/1000*(1129)</f>
        <v>649.28790000000004</v>
      </c>
      <c r="I152" s="1"/>
    </row>
    <row r="153" spans="1:9" x14ac:dyDescent="0.25">
      <c r="A153">
        <v>489</v>
      </c>
      <c r="B153" t="s">
        <v>143</v>
      </c>
      <c r="C153" t="str">
        <f t="shared" si="2"/>
        <v>120,</v>
      </c>
      <c r="D153" s="2">
        <v>9978.4</v>
      </c>
      <c r="E153" s="1">
        <v>54315.24</v>
      </c>
      <c r="F153" s="1">
        <f>Tabela1[[#This Row],[PR.CUSTO+FRETE]]-Tabela1[[#This Row],[FRETE]]</f>
        <v>43049.626400000001</v>
      </c>
      <c r="G153" s="1">
        <v>87954.97</v>
      </c>
      <c r="H153" s="1">
        <f>Tabela1[[#This Row],[PESO UND]]/1000*(1129)</f>
        <v>11265.613599999999</v>
      </c>
      <c r="I153" s="1"/>
    </row>
    <row r="154" spans="1:9" x14ac:dyDescent="0.25">
      <c r="A154">
        <v>493</v>
      </c>
      <c r="B154" t="s">
        <v>144</v>
      </c>
      <c r="C154" t="str">
        <f t="shared" si="2"/>
        <v>120,</v>
      </c>
      <c r="D154" s="2">
        <v>2414</v>
      </c>
      <c r="E154" s="1">
        <v>12509.07</v>
      </c>
      <c r="F154" s="1">
        <f>Tabela1[[#This Row],[PR.CUSTO+FRETE]]-Tabela1[[#This Row],[FRETE]]</f>
        <v>9783.6640000000007</v>
      </c>
      <c r="G154" s="1">
        <v>20939.060000000001</v>
      </c>
      <c r="H154" s="1">
        <f>Tabela1[[#This Row],[PESO UND]]/1000*(1129)</f>
        <v>2725.4059999999999</v>
      </c>
      <c r="I154" s="1"/>
    </row>
    <row r="155" spans="1:9" x14ac:dyDescent="0.25">
      <c r="A155">
        <v>492</v>
      </c>
      <c r="B155" t="s">
        <v>145</v>
      </c>
      <c r="C155" t="str">
        <f t="shared" si="2"/>
        <v>120,</v>
      </c>
      <c r="D155" s="2">
        <v>82.5</v>
      </c>
      <c r="E155" s="1">
        <v>3601.48</v>
      </c>
      <c r="F155" s="1">
        <f>Tabela1[[#This Row],[PR.CUSTO+FRETE]]-Tabela1[[#This Row],[FRETE]]</f>
        <v>3508.3375000000001</v>
      </c>
      <c r="G155" s="1">
        <v>5538.3</v>
      </c>
      <c r="H155" s="1">
        <f>Tabela1[[#This Row],[PESO UND]]/1000*(1129)</f>
        <v>93.142499999999998</v>
      </c>
      <c r="I155" s="1"/>
    </row>
    <row r="156" spans="1:9" x14ac:dyDescent="0.25">
      <c r="A156">
        <v>491</v>
      </c>
      <c r="B156" t="s">
        <v>146</v>
      </c>
      <c r="C156" t="str">
        <f t="shared" si="2"/>
        <v>120,</v>
      </c>
      <c r="D156" s="2">
        <v>499.8</v>
      </c>
      <c r="E156" s="1">
        <v>9330.91</v>
      </c>
      <c r="F156" s="1">
        <f>Tabela1[[#This Row],[PR.CUSTO+FRETE]]-Tabela1[[#This Row],[FRETE]]</f>
        <v>8766.6358</v>
      </c>
      <c r="G156" s="1">
        <v>13838.75</v>
      </c>
      <c r="H156" s="1">
        <f>Tabela1[[#This Row],[PESO UND]]/1000*(1129)</f>
        <v>564.27420000000006</v>
      </c>
      <c r="I156" s="1"/>
    </row>
    <row r="157" spans="1:9" x14ac:dyDescent="0.25">
      <c r="A157">
        <v>490</v>
      </c>
      <c r="B157" t="s">
        <v>147</v>
      </c>
      <c r="C157" t="str">
        <f t="shared" si="2"/>
        <v>120,</v>
      </c>
      <c r="D157" s="2">
        <v>499.8</v>
      </c>
      <c r="E157" s="1">
        <v>8978.39</v>
      </c>
      <c r="F157" s="1">
        <f>Tabela1[[#This Row],[PR.CUSTO+FRETE]]-Tabela1[[#This Row],[FRETE]]</f>
        <v>8414.1157999999996</v>
      </c>
      <c r="G157" s="1">
        <v>13282.28</v>
      </c>
      <c r="H157" s="1">
        <f>Tabela1[[#This Row],[PESO UND]]/1000*(1129)</f>
        <v>564.27420000000006</v>
      </c>
      <c r="I157" s="1"/>
    </row>
    <row r="158" spans="1:9" x14ac:dyDescent="0.25">
      <c r="A158">
        <v>544</v>
      </c>
      <c r="B158" t="s">
        <v>148</v>
      </c>
      <c r="C158" t="str">
        <f t="shared" si="2"/>
        <v>78,5</v>
      </c>
      <c r="D158" s="2">
        <v>7690.64</v>
      </c>
      <c r="E158" s="1">
        <v>43297.73</v>
      </c>
      <c r="F158" s="1">
        <f>Tabela1[[#This Row],[PR.CUSTO+FRETE]]-Tabela1[[#This Row],[FRETE]]</f>
        <v>34614.997440000006</v>
      </c>
      <c r="G158" s="1">
        <v>70134.5</v>
      </c>
      <c r="H158" s="1">
        <f>Tabela1[[#This Row],[PESO UND]]/1000*(1129)</f>
        <v>8682.7325600000004</v>
      </c>
      <c r="I158" s="1"/>
    </row>
    <row r="159" spans="1:9" x14ac:dyDescent="0.25">
      <c r="A159">
        <v>548</v>
      </c>
      <c r="B159" t="s">
        <v>149</v>
      </c>
      <c r="C159" t="str">
        <f t="shared" si="2"/>
        <v>78,5</v>
      </c>
      <c r="D159" s="2">
        <v>1788</v>
      </c>
      <c r="E159" s="1">
        <v>9304.11</v>
      </c>
      <c r="F159" s="1">
        <f>Tabela1[[#This Row],[PR.CUSTO+FRETE]]-Tabela1[[#This Row],[FRETE]]</f>
        <v>7285.4580000000005</v>
      </c>
      <c r="G159" s="1">
        <v>15569.78</v>
      </c>
      <c r="H159" s="1">
        <f>Tabela1[[#This Row],[PESO UND]]/1000*(1129)</f>
        <v>2018.652</v>
      </c>
      <c r="I159" s="1"/>
    </row>
    <row r="160" spans="1:9" x14ac:dyDescent="0.25">
      <c r="A160">
        <v>547</v>
      </c>
      <c r="B160" t="s">
        <v>150</v>
      </c>
      <c r="C160" t="str">
        <f t="shared" si="2"/>
        <v>78,5</v>
      </c>
      <c r="D160" s="2">
        <v>63.75</v>
      </c>
      <c r="E160" s="1">
        <v>2098.21</v>
      </c>
      <c r="F160" s="1">
        <f>Tabela1[[#This Row],[PR.CUSTO+FRETE]]-Tabela1[[#This Row],[FRETE]]</f>
        <v>2026.2362499999999</v>
      </c>
      <c r="G160" s="1">
        <v>3203.22</v>
      </c>
      <c r="H160" s="1">
        <f>Tabela1[[#This Row],[PESO UND]]/1000*(1129)</f>
        <v>71.973749999999995</v>
      </c>
      <c r="I160" s="1"/>
    </row>
    <row r="161" spans="1:9" x14ac:dyDescent="0.25">
      <c r="A161">
        <v>546</v>
      </c>
      <c r="B161" t="s">
        <v>151</v>
      </c>
      <c r="C161" t="str">
        <f t="shared" si="2"/>
        <v>78,5</v>
      </c>
      <c r="D161" s="2">
        <v>228.5</v>
      </c>
      <c r="E161" s="1">
        <v>4276.05</v>
      </c>
      <c r="F161" s="1">
        <f>Tabela1[[#This Row],[PR.CUSTO+FRETE]]-Tabela1[[#This Row],[FRETE]]</f>
        <v>4018.0735000000004</v>
      </c>
      <c r="G161" s="1">
        <v>6342.82</v>
      </c>
      <c r="H161" s="1">
        <f>Tabela1[[#This Row],[PESO UND]]/1000*(1129)</f>
        <v>257.97649999999999</v>
      </c>
      <c r="I161" s="1"/>
    </row>
    <row r="162" spans="1:9" x14ac:dyDescent="0.25">
      <c r="A162">
        <v>545</v>
      </c>
      <c r="B162" t="s">
        <v>152</v>
      </c>
      <c r="C162" t="str">
        <f t="shared" si="2"/>
        <v>78,5</v>
      </c>
      <c r="D162" s="2">
        <v>228.5</v>
      </c>
      <c r="E162" s="1">
        <v>4114.63</v>
      </c>
      <c r="F162" s="1">
        <f>Tabela1[[#This Row],[PR.CUSTO+FRETE]]-Tabela1[[#This Row],[FRETE]]</f>
        <v>3856.6535000000003</v>
      </c>
      <c r="G162" s="1">
        <v>6088</v>
      </c>
      <c r="H162" s="1">
        <f>Tabela1[[#This Row],[PESO UND]]/1000*(1129)</f>
        <v>257.97649999999999</v>
      </c>
      <c r="I162" s="1"/>
    </row>
    <row r="163" spans="1:9" x14ac:dyDescent="0.25">
      <c r="A163">
        <v>1106</v>
      </c>
      <c r="B163" t="s">
        <v>153</v>
      </c>
      <c r="C163" t="str">
        <f t="shared" si="2"/>
        <v/>
      </c>
      <c r="D163" s="2">
        <v>719.7</v>
      </c>
      <c r="E163" s="1">
        <v>812.54129999999998</v>
      </c>
      <c r="F163" s="1">
        <f>Tabela1[[#This Row],[PR.CUSTO+FRETE]]-Tabela1[[#This Row],[FRETE]]</f>
        <v>0</v>
      </c>
      <c r="G163" s="1">
        <v>37570</v>
      </c>
      <c r="H163" s="1">
        <f>Tabela1[[#This Row],[PESO UND]]/1000*(1129)</f>
        <v>812.54129999999998</v>
      </c>
      <c r="I163" s="1"/>
    </row>
    <row r="164" spans="1:9" x14ac:dyDescent="0.25">
      <c r="A164">
        <v>406</v>
      </c>
      <c r="B164" t="s">
        <v>154</v>
      </c>
      <c r="C164" t="str">
        <f t="shared" si="2"/>
        <v>246,</v>
      </c>
      <c r="D164" s="2">
        <v>21052.79</v>
      </c>
      <c r="E164" s="1">
        <v>113678.25</v>
      </c>
      <c r="F164" s="1">
        <f>Tabela1[[#This Row],[PR.CUSTO+FRETE]]-Tabela1[[#This Row],[FRETE]]</f>
        <v>89909.650089999996</v>
      </c>
      <c r="G164" s="1">
        <v>188123.53</v>
      </c>
      <c r="H164" s="1">
        <f>Tabela1[[#This Row],[PESO UND]]/1000*(1129)</f>
        <v>23768.599910000001</v>
      </c>
      <c r="I164" s="1"/>
    </row>
    <row r="165" spans="1:9" x14ac:dyDescent="0.25">
      <c r="A165">
        <v>410</v>
      </c>
      <c r="B165" t="s">
        <v>155</v>
      </c>
      <c r="C165" t="str">
        <f t="shared" si="2"/>
        <v>246,</v>
      </c>
      <c r="D165" s="2">
        <v>4116.5</v>
      </c>
      <c r="E165" s="1">
        <v>21290.75</v>
      </c>
      <c r="F165" s="1">
        <f>Tabela1[[#This Row],[PR.CUSTO+FRETE]]-Tabela1[[#This Row],[FRETE]]</f>
        <v>16643.2215</v>
      </c>
      <c r="G165" s="1">
        <v>35643.480000000003</v>
      </c>
      <c r="H165" s="1">
        <f>Tabela1[[#This Row],[PESO UND]]/1000*(1129)</f>
        <v>4647.5285000000003</v>
      </c>
      <c r="I165" s="1"/>
    </row>
    <row r="166" spans="1:9" x14ac:dyDescent="0.25">
      <c r="A166">
        <v>409</v>
      </c>
      <c r="B166" t="s">
        <v>156</v>
      </c>
      <c r="C166" t="str">
        <f t="shared" si="2"/>
        <v>246,</v>
      </c>
      <c r="D166" s="2">
        <v>168.75</v>
      </c>
      <c r="E166" s="1">
        <v>5554.1</v>
      </c>
      <c r="F166" s="1">
        <f>Tabela1[[#This Row],[PR.CUSTO+FRETE]]-Tabela1[[#This Row],[FRETE]]</f>
        <v>5363.5812500000002</v>
      </c>
      <c r="G166" s="1">
        <v>8479.11</v>
      </c>
      <c r="H166" s="1">
        <f>Tabela1[[#This Row],[PESO UND]]/1000*(1129)</f>
        <v>190.51875000000001</v>
      </c>
      <c r="I166" s="1"/>
    </row>
    <row r="167" spans="1:9" x14ac:dyDescent="0.25">
      <c r="A167">
        <v>408</v>
      </c>
      <c r="B167" t="s">
        <v>157</v>
      </c>
      <c r="C167" t="str">
        <f t="shared" si="2"/>
        <v>246,</v>
      </c>
      <c r="D167" s="2">
        <v>1112.4000000000001</v>
      </c>
      <c r="E167" s="1">
        <v>20761.64</v>
      </c>
      <c r="F167" s="1">
        <f>Tabela1[[#This Row],[PR.CUSTO+FRETE]]-Tabela1[[#This Row],[FRETE]]</f>
        <v>19505.740399999999</v>
      </c>
      <c r="G167" s="1">
        <v>30791.19</v>
      </c>
      <c r="H167" s="1">
        <f>Tabela1[[#This Row],[PESO UND]]/1000*(1129)</f>
        <v>1255.8996</v>
      </c>
      <c r="I167" s="1"/>
    </row>
    <row r="168" spans="1:9" x14ac:dyDescent="0.25">
      <c r="A168">
        <v>407</v>
      </c>
      <c r="B168" t="s">
        <v>158</v>
      </c>
      <c r="C168" t="str">
        <f t="shared" si="2"/>
        <v>246,</v>
      </c>
      <c r="D168" s="2">
        <v>1112.4000000000001</v>
      </c>
      <c r="E168" s="1">
        <v>19977.2</v>
      </c>
      <c r="F168" s="1">
        <f>Tabela1[[#This Row],[PR.CUSTO+FRETE]]-Tabela1[[#This Row],[FRETE]]</f>
        <v>18721.3004</v>
      </c>
      <c r="G168" s="1">
        <v>29552.89</v>
      </c>
      <c r="H168" s="1">
        <f>Tabela1[[#This Row],[PESO UND]]/1000*(1129)</f>
        <v>1255.8996</v>
      </c>
      <c r="I168" s="1"/>
    </row>
    <row r="169" spans="1:9" x14ac:dyDescent="0.25">
      <c r="A169">
        <v>1192</v>
      </c>
      <c r="B169" t="s">
        <v>159</v>
      </c>
      <c r="C169" t="str">
        <f t="shared" si="2"/>
        <v>30,2</v>
      </c>
      <c r="D169" s="2">
        <v>25.2</v>
      </c>
      <c r="E169" s="1">
        <v>1216.28</v>
      </c>
      <c r="F169" s="1">
        <f>Tabela1[[#This Row],[PR.CUSTO+FRETE]]-Tabela1[[#This Row],[FRETE]]</f>
        <v>1187.8291999999999</v>
      </c>
      <c r="G169" s="1">
        <v>1875.12</v>
      </c>
      <c r="H169" s="1">
        <f>Tabela1[[#This Row],[PESO UND]]/1000*(1129)</f>
        <v>28.450800000000001</v>
      </c>
      <c r="I169" s="1"/>
    </row>
    <row r="170" spans="1:9" x14ac:dyDescent="0.25">
      <c r="A170">
        <v>1191</v>
      </c>
      <c r="B170" t="s">
        <v>160</v>
      </c>
      <c r="C170" t="str">
        <f t="shared" si="2"/>
        <v>30,2</v>
      </c>
      <c r="D170" s="2">
        <v>85.4</v>
      </c>
      <c r="E170" s="1">
        <v>1818.52</v>
      </c>
      <c r="F170" s="1">
        <f>Tabela1[[#This Row],[PR.CUSTO+FRETE]]-Tabela1[[#This Row],[FRETE]]</f>
        <v>1722.1034</v>
      </c>
      <c r="G170" s="1">
        <v>2700.64</v>
      </c>
      <c r="H170" s="1">
        <f>Tabela1[[#This Row],[PESO UND]]/1000*(1129)</f>
        <v>96.416600000000003</v>
      </c>
      <c r="I170" s="1"/>
    </row>
    <row r="171" spans="1:9" x14ac:dyDescent="0.25">
      <c r="A171">
        <v>1189</v>
      </c>
      <c r="B171" t="s">
        <v>161</v>
      </c>
      <c r="C171" t="str">
        <f t="shared" si="2"/>
        <v>30,2</v>
      </c>
      <c r="D171" s="2">
        <v>85.4</v>
      </c>
      <c r="E171" s="1">
        <v>1758.54</v>
      </c>
      <c r="F171" s="1">
        <f>Tabela1[[#This Row],[PR.CUSTO+FRETE]]-Tabela1[[#This Row],[FRETE]]</f>
        <v>1662.1233999999999</v>
      </c>
      <c r="G171" s="1">
        <v>2605.9699999999998</v>
      </c>
      <c r="H171" s="1">
        <f>Tabela1[[#This Row],[PESO UND]]/1000*(1129)</f>
        <v>96.416600000000003</v>
      </c>
      <c r="I171" s="1"/>
    </row>
    <row r="172" spans="1:9" x14ac:dyDescent="0.25">
      <c r="A172">
        <v>479</v>
      </c>
      <c r="B172" t="s">
        <v>162</v>
      </c>
      <c r="C172" t="str">
        <f t="shared" si="2"/>
        <v>111M</v>
      </c>
      <c r="D172" s="2">
        <v>7206.23</v>
      </c>
      <c r="E172" s="1">
        <v>51304.72</v>
      </c>
      <c r="F172" s="1">
        <f>Tabela1[[#This Row],[PR.CUSTO+FRETE]]-Tabela1[[#This Row],[FRETE]]</f>
        <v>43168.886330000001</v>
      </c>
      <c r="G172" s="1">
        <v>83717.009999999995</v>
      </c>
      <c r="H172" s="1">
        <f>Tabela1[[#This Row],[PESO UND]]/1000*(1129)</f>
        <v>8135.83367</v>
      </c>
      <c r="I172" s="1"/>
    </row>
    <row r="173" spans="1:9" x14ac:dyDescent="0.25">
      <c r="A173">
        <v>483</v>
      </c>
      <c r="B173" t="s">
        <v>163</v>
      </c>
      <c r="C173" t="str">
        <f t="shared" si="2"/>
        <v>111M</v>
      </c>
      <c r="D173" s="2">
        <v>2414</v>
      </c>
      <c r="E173" s="1">
        <v>12509.07</v>
      </c>
      <c r="F173" s="1">
        <f>Tabela1[[#This Row],[PR.CUSTO+FRETE]]-Tabela1[[#This Row],[FRETE]]</f>
        <v>9783.6640000000007</v>
      </c>
      <c r="G173" s="1">
        <v>20939.060000000001</v>
      </c>
      <c r="H173" s="1">
        <f>Tabela1[[#This Row],[PESO UND]]/1000*(1129)</f>
        <v>2725.4059999999999</v>
      </c>
      <c r="I173" s="1"/>
    </row>
    <row r="174" spans="1:9" x14ac:dyDescent="0.25">
      <c r="A174">
        <v>482</v>
      </c>
      <c r="B174" t="s">
        <v>164</v>
      </c>
      <c r="C174" t="str">
        <f t="shared" si="2"/>
        <v>111M</v>
      </c>
      <c r="D174" s="2">
        <v>93.75</v>
      </c>
      <c r="E174" s="1">
        <v>4092.59</v>
      </c>
      <c r="F174" s="1">
        <f>Tabela1[[#This Row],[PR.CUSTO+FRETE]]-Tabela1[[#This Row],[FRETE]]</f>
        <v>3986.7462500000001</v>
      </c>
      <c r="G174" s="1">
        <v>6293.53</v>
      </c>
      <c r="H174" s="1">
        <f>Tabela1[[#This Row],[PESO UND]]/1000*(1129)</f>
        <v>105.84375</v>
      </c>
      <c r="I174" s="1"/>
    </row>
    <row r="175" spans="1:9" x14ac:dyDescent="0.25">
      <c r="A175">
        <v>481</v>
      </c>
      <c r="B175" t="s">
        <v>165</v>
      </c>
      <c r="C175" t="str">
        <f t="shared" si="2"/>
        <v>111M</v>
      </c>
      <c r="D175" s="2">
        <v>707.2</v>
      </c>
      <c r="E175" s="1">
        <v>13177.9</v>
      </c>
      <c r="F175" s="1">
        <f>Tabela1[[#This Row],[PR.CUSTO+FRETE]]-Tabela1[[#This Row],[FRETE]]</f>
        <v>12379.4712</v>
      </c>
      <c r="G175" s="1">
        <v>19541.88</v>
      </c>
      <c r="H175" s="1">
        <f>Tabela1[[#This Row],[PESO UND]]/1000*(1129)</f>
        <v>798.42880000000002</v>
      </c>
      <c r="I175" s="1"/>
    </row>
    <row r="176" spans="1:9" x14ac:dyDescent="0.25">
      <c r="A176">
        <v>480</v>
      </c>
      <c r="B176" t="s">
        <v>166</v>
      </c>
      <c r="C176" t="str">
        <f t="shared" si="2"/>
        <v>111M</v>
      </c>
      <c r="D176" s="2">
        <v>707.2</v>
      </c>
      <c r="E176" s="1">
        <v>12679.72</v>
      </c>
      <c r="F176" s="1">
        <f>Tabela1[[#This Row],[PR.CUSTO+FRETE]]-Tabela1[[#This Row],[FRETE]]</f>
        <v>11881.2912</v>
      </c>
      <c r="G176" s="1">
        <v>18755.47</v>
      </c>
      <c r="H176" s="1">
        <f>Tabela1[[#This Row],[PESO UND]]/1000*(1129)</f>
        <v>798.42880000000002</v>
      </c>
      <c r="I176" s="1"/>
    </row>
    <row r="177" spans="1:9" x14ac:dyDescent="0.25">
      <c r="A177">
        <v>522</v>
      </c>
      <c r="B177" t="s">
        <v>167</v>
      </c>
      <c r="C177" t="str">
        <f t="shared" si="2"/>
        <v>96,1</v>
      </c>
      <c r="D177" s="2">
        <v>12302.24</v>
      </c>
      <c r="E177" s="1">
        <v>65689.95</v>
      </c>
      <c r="F177" s="1">
        <f>Tabela1[[#This Row],[PR.CUSTO+FRETE]]-Tabela1[[#This Row],[FRETE]]</f>
        <v>51800.721039999997</v>
      </c>
      <c r="G177" s="1">
        <v>108283.19</v>
      </c>
      <c r="H177" s="1">
        <f>Tabela1[[#This Row],[PESO UND]]/1000*(1129)</f>
        <v>13889.228959999999</v>
      </c>
      <c r="I177" s="1"/>
    </row>
    <row r="178" spans="1:9" x14ac:dyDescent="0.25">
      <c r="A178">
        <v>526</v>
      </c>
      <c r="B178" t="s">
        <v>168</v>
      </c>
      <c r="C178" t="str">
        <f t="shared" si="2"/>
        <v>96,1</v>
      </c>
      <c r="D178" s="2">
        <v>2642.5</v>
      </c>
      <c r="E178" s="1">
        <v>13710.38</v>
      </c>
      <c r="F178" s="1">
        <f>Tabela1[[#This Row],[PR.CUSTO+FRETE]]-Tabela1[[#This Row],[FRETE]]</f>
        <v>10726.997499999999</v>
      </c>
      <c r="G178" s="1">
        <v>22947.98</v>
      </c>
      <c r="H178" s="1">
        <f>Tabela1[[#This Row],[PESO UND]]/1000*(1129)</f>
        <v>2983.3825000000002</v>
      </c>
      <c r="I178" s="1"/>
    </row>
    <row r="179" spans="1:9" x14ac:dyDescent="0.25">
      <c r="A179">
        <v>525</v>
      </c>
      <c r="B179" t="s">
        <v>169</v>
      </c>
      <c r="C179" t="str">
        <f t="shared" si="2"/>
        <v>96,1</v>
      </c>
      <c r="D179" s="2">
        <v>90</v>
      </c>
      <c r="E179" s="1">
        <v>2962.19</v>
      </c>
      <c r="F179" s="1">
        <f>Tabela1[[#This Row],[PR.CUSTO+FRETE]]-Tabela1[[#This Row],[FRETE]]</f>
        <v>2860.58</v>
      </c>
      <c r="G179" s="1">
        <v>4522.1899999999996</v>
      </c>
      <c r="H179" s="1">
        <f>Tabela1[[#This Row],[PESO UND]]/1000*(1129)</f>
        <v>101.61</v>
      </c>
      <c r="I179" s="1"/>
    </row>
    <row r="180" spans="1:9" x14ac:dyDescent="0.25">
      <c r="A180">
        <v>524</v>
      </c>
      <c r="B180" t="s">
        <v>170</v>
      </c>
      <c r="C180" t="str">
        <f t="shared" si="2"/>
        <v>96,1</v>
      </c>
      <c r="D180" s="2">
        <v>475.5</v>
      </c>
      <c r="E180" s="1">
        <v>8865.11</v>
      </c>
      <c r="F180" s="1">
        <f>Tabela1[[#This Row],[PR.CUSTO+FRETE]]-Tabela1[[#This Row],[FRETE]]</f>
        <v>8328.2705000000005</v>
      </c>
      <c r="G180" s="1">
        <v>13146.76</v>
      </c>
      <c r="H180" s="1">
        <f>Tabela1[[#This Row],[PESO UND]]/1000*(1129)</f>
        <v>536.83949999999993</v>
      </c>
      <c r="I180" s="1"/>
    </row>
    <row r="181" spans="1:9" x14ac:dyDescent="0.25">
      <c r="A181">
        <v>523</v>
      </c>
      <c r="B181" t="s">
        <v>171</v>
      </c>
      <c r="C181" t="str">
        <f t="shared" si="2"/>
        <v>96,1</v>
      </c>
      <c r="D181" s="2">
        <v>475.5</v>
      </c>
      <c r="E181" s="1">
        <v>8530.0300000000007</v>
      </c>
      <c r="F181" s="1">
        <f>Tabela1[[#This Row],[PR.CUSTO+FRETE]]-Tabela1[[#This Row],[FRETE]]</f>
        <v>7993.1905000000006</v>
      </c>
      <c r="G181" s="1">
        <v>12617.83</v>
      </c>
      <c r="H181" s="1">
        <f>Tabela1[[#This Row],[PESO UND]]/1000*(1129)</f>
        <v>536.83949999999993</v>
      </c>
      <c r="I181" s="1"/>
    </row>
    <row r="182" spans="1:9" x14ac:dyDescent="0.25">
      <c r="A182">
        <v>508</v>
      </c>
      <c r="B182" t="s">
        <v>172</v>
      </c>
      <c r="C182" t="str">
        <f t="shared" si="2"/>
        <v>115,</v>
      </c>
      <c r="D182" s="2">
        <v>2179</v>
      </c>
      <c r="E182" s="1">
        <v>11276.89</v>
      </c>
      <c r="F182" s="1">
        <f>Tabela1[[#This Row],[PR.CUSTO+FRETE]]-Tabela1[[#This Row],[FRETE]]</f>
        <v>8816.7989999999991</v>
      </c>
      <c r="G182" s="1">
        <v>18878.169999999998</v>
      </c>
      <c r="H182" s="1">
        <f>Tabela1[[#This Row],[PESO UND]]/1000*(1129)</f>
        <v>2460.0909999999999</v>
      </c>
      <c r="I182" s="1"/>
    </row>
    <row r="183" spans="1:9" x14ac:dyDescent="0.25">
      <c r="A183">
        <v>1206</v>
      </c>
      <c r="B183" t="s">
        <v>173</v>
      </c>
      <c r="C183" t="str">
        <f t="shared" si="2"/>
        <v>48,1</v>
      </c>
      <c r="D183" s="2">
        <v>8199.81</v>
      </c>
      <c r="E183" s="1">
        <v>45655</v>
      </c>
      <c r="F183" s="1">
        <f>Tabela1[[#This Row],[PR.CUSTO+FRETE]]-Tabela1[[#This Row],[FRETE]]</f>
        <v>36397.414510000002</v>
      </c>
      <c r="G183" s="1">
        <v>66098.86</v>
      </c>
      <c r="H183" s="1">
        <f>Tabela1[[#This Row],[PESO UND]]/1000*(1129)</f>
        <v>9257.5854899999995</v>
      </c>
      <c r="I183" s="1"/>
    </row>
    <row r="184" spans="1:9" x14ac:dyDescent="0.25">
      <c r="A184">
        <v>1291</v>
      </c>
      <c r="B184" t="s">
        <v>174</v>
      </c>
      <c r="C184" t="str">
        <f t="shared" si="2"/>
        <v>48,1</v>
      </c>
      <c r="D184" s="2">
        <v>369.4</v>
      </c>
      <c r="E184" s="1">
        <v>2938.07</v>
      </c>
      <c r="F184" s="1">
        <f>Tabela1[[#This Row],[PR.CUSTO+FRETE]]-Tabela1[[#This Row],[FRETE]]</f>
        <v>2521.0174000000002</v>
      </c>
      <c r="G184" s="1">
        <v>5034.09</v>
      </c>
      <c r="H184" s="1">
        <f>Tabela1[[#This Row],[PESO UND]]/1000*(1129)</f>
        <v>417.05259999999993</v>
      </c>
      <c r="I184" s="1"/>
    </row>
    <row r="185" spans="1:9" x14ac:dyDescent="0.25">
      <c r="A185">
        <v>1290</v>
      </c>
      <c r="B185" t="s">
        <v>175</v>
      </c>
      <c r="C185" t="str">
        <f t="shared" si="2"/>
        <v>48,1</v>
      </c>
      <c r="D185" s="2">
        <v>7.2</v>
      </c>
      <c r="E185" s="1">
        <v>347.51</v>
      </c>
      <c r="F185" s="1">
        <f>Tabela1[[#This Row],[PR.CUSTO+FRETE]]-Tabela1[[#This Row],[FRETE]]</f>
        <v>339.38119999999998</v>
      </c>
      <c r="G185" s="1">
        <v>535.75</v>
      </c>
      <c r="H185" s="1">
        <f>Tabela1[[#This Row],[PESO UND]]/1000*(1129)</f>
        <v>8.1288</v>
      </c>
      <c r="I185" s="1"/>
    </row>
    <row r="186" spans="1:9" x14ac:dyDescent="0.25">
      <c r="A186">
        <v>1289</v>
      </c>
      <c r="B186" t="s">
        <v>176</v>
      </c>
      <c r="C186" t="str">
        <f t="shared" si="2"/>
        <v>48,1</v>
      </c>
      <c r="D186" s="2">
        <v>397.7</v>
      </c>
      <c r="E186" s="1">
        <v>7486.19</v>
      </c>
      <c r="F186" s="1">
        <f>Tabela1[[#This Row],[PR.CUSTO+FRETE]]-Tabela1[[#This Row],[FRETE]]</f>
        <v>7037.1866999999993</v>
      </c>
      <c r="G186" s="1">
        <v>11108.7</v>
      </c>
      <c r="H186" s="1">
        <f>Tabela1[[#This Row],[PESO UND]]/1000*(1129)</f>
        <v>449.00330000000002</v>
      </c>
      <c r="I186" s="1"/>
    </row>
    <row r="187" spans="1:9" x14ac:dyDescent="0.25">
      <c r="A187">
        <v>1288</v>
      </c>
      <c r="B187" t="s">
        <v>177</v>
      </c>
      <c r="C187" t="str">
        <f t="shared" si="2"/>
        <v>48,1</v>
      </c>
      <c r="D187" s="2">
        <v>397.7</v>
      </c>
      <c r="E187" s="1">
        <v>7232.81</v>
      </c>
      <c r="F187" s="1">
        <f>Tabela1[[#This Row],[PR.CUSTO+FRETE]]-Tabela1[[#This Row],[FRETE]]</f>
        <v>6783.8067000000001</v>
      </c>
      <c r="G187" s="1">
        <v>10708.73</v>
      </c>
      <c r="H187" s="1">
        <f>Tabela1[[#This Row],[PESO UND]]/1000*(1129)</f>
        <v>449.00330000000002</v>
      </c>
      <c r="I187" s="1"/>
    </row>
    <row r="188" spans="1:9" x14ac:dyDescent="0.25">
      <c r="A188">
        <v>1258</v>
      </c>
      <c r="B188" t="s">
        <v>178</v>
      </c>
      <c r="C188" t="str">
        <f t="shared" si="2"/>
        <v>30,2</v>
      </c>
      <c r="D188" s="2">
        <v>7967.61</v>
      </c>
      <c r="E188" s="1">
        <v>45156.87</v>
      </c>
      <c r="F188" s="1">
        <f>Tabela1[[#This Row],[PR.CUSTO+FRETE]]-Tabela1[[#This Row],[FRETE]]</f>
        <v>36161.438310000005</v>
      </c>
      <c r="G188" s="1">
        <v>65238.080000000002</v>
      </c>
      <c r="H188" s="1">
        <f>Tabela1[[#This Row],[PESO UND]]/1000*(1129)</f>
        <v>8995.4316899999994</v>
      </c>
      <c r="I188" s="1"/>
    </row>
    <row r="189" spans="1:9" x14ac:dyDescent="0.25">
      <c r="A189">
        <v>1277</v>
      </c>
      <c r="B189" t="s">
        <v>179</v>
      </c>
      <c r="C189" t="str">
        <f t="shared" si="2"/>
        <v>30,2</v>
      </c>
      <c r="D189" s="2">
        <v>198.2</v>
      </c>
      <c r="E189" s="1">
        <v>1625.46</v>
      </c>
      <c r="F189" s="1">
        <f>Tabela1[[#This Row],[PR.CUSTO+FRETE]]-Tabela1[[#This Row],[FRETE]]</f>
        <v>1401.6922</v>
      </c>
      <c r="G189" s="1">
        <v>2775.5</v>
      </c>
      <c r="H189" s="1">
        <f>Tabela1[[#This Row],[PESO UND]]/1000*(1129)</f>
        <v>223.76779999999999</v>
      </c>
      <c r="I189" s="1"/>
    </row>
    <row r="190" spans="1:9" x14ac:dyDescent="0.25">
      <c r="A190">
        <v>1261</v>
      </c>
      <c r="B190" t="s">
        <v>180</v>
      </c>
      <c r="C190" t="str">
        <f t="shared" si="2"/>
        <v>30,2</v>
      </c>
      <c r="D190" s="2">
        <v>7.2</v>
      </c>
      <c r="E190" s="1">
        <v>347.51</v>
      </c>
      <c r="F190" s="1">
        <f>Tabela1[[#This Row],[PR.CUSTO+FRETE]]-Tabela1[[#This Row],[FRETE]]</f>
        <v>339.38119999999998</v>
      </c>
      <c r="G190" s="1">
        <v>535.75</v>
      </c>
      <c r="H190" s="1">
        <f>Tabela1[[#This Row],[PESO UND]]/1000*(1129)</f>
        <v>8.1288</v>
      </c>
      <c r="I190" s="1"/>
    </row>
    <row r="191" spans="1:9" x14ac:dyDescent="0.25">
      <c r="A191">
        <v>1260</v>
      </c>
      <c r="B191" t="s">
        <v>181</v>
      </c>
      <c r="C191" t="str">
        <f t="shared" si="2"/>
        <v>30,2</v>
      </c>
      <c r="D191" s="2">
        <v>301.2</v>
      </c>
      <c r="E191" s="1">
        <v>5701.44</v>
      </c>
      <c r="F191" s="1">
        <f>Tabela1[[#This Row],[PR.CUSTO+FRETE]]-Tabela1[[#This Row],[FRETE]]</f>
        <v>5361.3851999999997</v>
      </c>
      <c r="G191" s="1">
        <v>8463.33</v>
      </c>
      <c r="H191" s="1">
        <f>Tabela1[[#This Row],[PESO UND]]/1000*(1129)</f>
        <v>340.05479999999994</v>
      </c>
      <c r="I191" s="1"/>
    </row>
    <row r="192" spans="1:9" x14ac:dyDescent="0.25">
      <c r="A192">
        <v>1259</v>
      </c>
      <c r="B192" t="s">
        <v>182</v>
      </c>
      <c r="C192" t="str">
        <f t="shared" si="2"/>
        <v>30,2</v>
      </c>
      <c r="D192" s="2">
        <v>301.2</v>
      </c>
      <c r="E192" s="1">
        <v>5512.33</v>
      </c>
      <c r="F192" s="1">
        <f>Tabela1[[#This Row],[PR.CUSTO+FRETE]]-Tabela1[[#This Row],[FRETE]]</f>
        <v>5172.2752</v>
      </c>
      <c r="G192" s="1">
        <v>8164.8</v>
      </c>
      <c r="H192" s="1">
        <f>Tabela1[[#This Row],[PESO UND]]/1000*(1129)</f>
        <v>340.05479999999994</v>
      </c>
      <c r="I192" s="1"/>
    </row>
    <row r="193" spans="1:9" x14ac:dyDescent="0.25">
      <c r="A193">
        <v>450</v>
      </c>
      <c r="B193" t="s">
        <v>183</v>
      </c>
      <c r="C193" t="str">
        <f t="shared" si="2"/>
        <v/>
      </c>
      <c r="D193" s="2">
        <v>1045.5</v>
      </c>
      <c r="E193" s="1">
        <v>18952.16</v>
      </c>
      <c r="F193" s="1">
        <f>Tabela1[[#This Row],[PR.CUSTO+FRETE]]-Tabela1[[#This Row],[FRETE]]</f>
        <v>17771.790499999999</v>
      </c>
      <c r="G193" s="1">
        <v>28054.03</v>
      </c>
      <c r="H193" s="1">
        <f>Tabela1[[#This Row],[PESO UND]]/1000*(1129)</f>
        <v>1180.3695</v>
      </c>
      <c r="I193" s="1"/>
    </row>
    <row r="194" spans="1:9" x14ac:dyDescent="0.25">
      <c r="A194">
        <v>449</v>
      </c>
      <c r="B194" t="s">
        <v>184</v>
      </c>
      <c r="C194" t="str">
        <f t="shared" ref="C194:C257" si="3">IFERROR(MID(B194,FIND("(",B194)+1,4),"")</f>
        <v>146,</v>
      </c>
      <c r="D194" s="2">
        <v>12506.35</v>
      </c>
      <c r="E194" s="1">
        <v>70581.3</v>
      </c>
      <c r="F194" s="1">
        <f>Tabela1[[#This Row],[PR.CUSTO+FRETE]]-Tabela1[[#This Row],[FRETE]]</f>
        <v>56461.630850000001</v>
      </c>
      <c r="G194" s="1">
        <v>117794.16</v>
      </c>
      <c r="H194" s="1">
        <f>Tabela1[[#This Row],[PESO UND]]/1000*(1129)</f>
        <v>14119.669150000002</v>
      </c>
      <c r="I194" s="1"/>
    </row>
    <row r="195" spans="1:9" x14ac:dyDescent="0.25">
      <c r="A195">
        <v>452</v>
      </c>
      <c r="B195" t="s">
        <v>185</v>
      </c>
      <c r="C195" t="str">
        <f t="shared" si="3"/>
        <v>146,</v>
      </c>
      <c r="D195" s="2">
        <v>153.75</v>
      </c>
      <c r="E195" s="1">
        <v>5060.3999999999996</v>
      </c>
      <c r="F195" s="1">
        <f>Tabela1[[#This Row],[PR.CUSTO+FRETE]]-Tabela1[[#This Row],[FRETE]]</f>
        <v>4886.8162499999999</v>
      </c>
      <c r="G195" s="1">
        <v>7725.41</v>
      </c>
      <c r="H195" s="1">
        <f>Tabela1[[#This Row],[PESO UND]]/1000*(1129)</f>
        <v>173.58375000000001</v>
      </c>
      <c r="I195" s="1"/>
    </row>
    <row r="196" spans="1:9" x14ac:dyDescent="0.25">
      <c r="A196">
        <v>451</v>
      </c>
      <c r="B196" t="s">
        <v>186</v>
      </c>
      <c r="C196" t="str">
        <f t="shared" si="3"/>
        <v>146,</v>
      </c>
      <c r="D196" s="2">
        <v>1045.5</v>
      </c>
      <c r="E196" s="1">
        <v>19622.310000000001</v>
      </c>
      <c r="F196" s="1">
        <f>Tabela1[[#This Row],[PR.CUSTO+FRETE]]-Tabela1[[#This Row],[FRETE]]</f>
        <v>18441.940500000001</v>
      </c>
      <c r="G196" s="1">
        <v>29111.91</v>
      </c>
      <c r="H196" s="1">
        <f>Tabela1[[#This Row],[PESO UND]]/1000*(1129)</f>
        <v>1180.3695</v>
      </c>
      <c r="I196" s="1"/>
    </row>
    <row r="197" spans="1:9" x14ac:dyDescent="0.25">
      <c r="A197">
        <v>911</v>
      </c>
      <c r="B197" t="s">
        <v>187</v>
      </c>
      <c r="C197" t="str">
        <f t="shared" si="3"/>
        <v>84,6</v>
      </c>
      <c r="D197" s="2">
        <v>6818.58</v>
      </c>
      <c r="E197" s="1">
        <v>35089.58</v>
      </c>
      <c r="F197" s="1">
        <f>Tabela1[[#This Row],[PR.CUSTO+FRETE]]-Tabela1[[#This Row],[FRETE]]</f>
        <v>27391.403180000001</v>
      </c>
      <c r="G197" s="1">
        <v>57366.69</v>
      </c>
      <c r="H197" s="1">
        <f>Tabela1[[#This Row],[PESO UND]]/1000*(1129)</f>
        <v>7698.1768199999997</v>
      </c>
      <c r="I197" s="1"/>
    </row>
    <row r="198" spans="1:9" x14ac:dyDescent="0.25">
      <c r="A198">
        <v>916</v>
      </c>
      <c r="B198" t="s">
        <v>188</v>
      </c>
      <c r="C198" t="str">
        <f t="shared" si="3"/>
        <v>84,6</v>
      </c>
      <c r="D198" s="2">
        <v>1425.9</v>
      </c>
      <c r="E198" s="1">
        <v>7191.87</v>
      </c>
      <c r="F198" s="1">
        <f>Tabela1[[#This Row],[PR.CUSTO+FRETE]]-Tabela1[[#This Row],[FRETE]]</f>
        <v>5582.0288999999993</v>
      </c>
      <c r="G198" s="1">
        <v>12108.08</v>
      </c>
      <c r="H198" s="1">
        <f>Tabela1[[#This Row],[PESO UND]]/1000*(1129)</f>
        <v>1609.8411000000001</v>
      </c>
      <c r="I198" s="1"/>
    </row>
    <row r="199" spans="1:9" x14ac:dyDescent="0.25">
      <c r="A199">
        <v>915</v>
      </c>
      <c r="B199" t="s">
        <v>189</v>
      </c>
      <c r="C199" t="str">
        <f t="shared" si="3"/>
        <v>84,6</v>
      </c>
      <c r="D199" s="2">
        <v>75</v>
      </c>
      <c r="E199" s="1">
        <v>3274.08</v>
      </c>
      <c r="F199" s="1">
        <f>Tabela1[[#This Row],[PR.CUSTO+FRETE]]-Tabela1[[#This Row],[FRETE]]</f>
        <v>3189.4049999999997</v>
      </c>
      <c r="G199" s="1">
        <v>5034.82</v>
      </c>
      <c r="H199" s="1">
        <f>Tabela1[[#This Row],[PESO UND]]/1000*(1129)</f>
        <v>84.674999999999997</v>
      </c>
      <c r="I199" s="1"/>
    </row>
    <row r="200" spans="1:9" x14ac:dyDescent="0.25">
      <c r="A200">
        <v>913</v>
      </c>
      <c r="B200" t="s">
        <v>190</v>
      </c>
      <c r="C200" t="str">
        <f t="shared" si="3"/>
        <v>84,6</v>
      </c>
      <c r="D200" s="2">
        <v>67.099999999999994</v>
      </c>
      <c r="E200" s="1">
        <v>1244.6099999999999</v>
      </c>
      <c r="F200" s="1">
        <f>Tabela1[[#This Row],[PR.CUSTO+FRETE]]-Tabela1[[#This Row],[FRETE]]</f>
        <v>1168.8541</v>
      </c>
      <c r="G200" s="1">
        <v>1845.13</v>
      </c>
      <c r="H200" s="1">
        <f>Tabela1[[#This Row],[PESO UND]]/1000*(1129)</f>
        <v>75.755899999999997</v>
      </c>
      <c r="I200" s="1"/>
    </row>
    <row r="201" spans="1:9" x14ac:dyDescent="0.25">
      <c r="A201">
        <v>912</v>
      </c>
      <c r="B201" t="s">
        <v>191</v>
      </c>
      <c r="C201" t="str">
        <f t="shared" si="3"/>
        <v>84,6</v>
      </c>
      <c r="D201" s="2">
        <v>67.099999999999994</v>
      </c>
      <c r="E201" s="1">
        <v>1197.49</v>
      </c>
      <c r="F201" s="1">
        <f>Tabela1[[#This Row],[PR.CUSTO+FRETE]]-Tabela1[[#This Row],[FRETE]]</f>
        <v>1121.7341000000001</v>
      </c>
      <c r="G201" s="1">
        <v>1770.74</v>
      </c>
      <c r="H201" s="1">
        <f>Tabela1[[#This Row],[PESO UND]]/1000*(1129)</f>
        <v>75.755899999999997</v>
      </c>
      <c r="I201" s="1"/>
    </row>
    <row r="202" spans="1:9" x14ac:dyDescent="0.25">
      <c r="A202">
        <v>684</v>
      </c>
      <c r="B202" t="s">
        <v>192</v>
      </c>
      <c r="C202" t="str">
        <f t="shared" si="3"/>
        <v>275M</v>
      </c>
      <c r="D202" s="2">
        <v>15101.54</v>
      </c>
      <c r="E202" s="1">
        <v>72267.289999999994</v>
      </c>
      <c r="F202" s="1">
        <f>Tabela1[[#This Row],[PR.CUSTO+FRETE]]-Tabela1[[#This Row],[FRETE]]</f>
        <v>55217.651339999997</v>
      </c>
      <c r="G202" s="1">
        <v>120164.52</v>
      </c>
      <c r="H202" s="1">
        <f>Tabela1[[#This Row],[PESO UND]]/1000*(1129)</f>
        <v>17049.638660000001</v>
      </c>
      <c r="I202" s="1"/>
    </row>
    <row r="203" spans="1:9" x14ac:dyDescent="0.25">
      <c r="A203">
        <v>1305</v>
      </c>
      <c r="B203" t="s">
        <v>193</v>
      </c>
      <c r="C203" t="str">
        <f t="shared" si="3"/>
        <v>66,2</v>
      </c>
      <c r="D203" s="2">
        <v>8097.03</v>
      </c>
      <c r="E203" s="1">
        <v>45501.97</v>
      </c>
      <c r="F203" s="1">
        <f>Tabela1[[#This Row],[PR.CUSTO+FRETE]]-Tabela1[[#This Row],[FRETE]]</f>
        <v>36360.423130000003</v>
      </c>
      <c r="G203" s="1">
        <v>75287.72</v>
      </c>
      <c r="H203" s="1">
        <f>Tabela1[[#This Row],[PESO UND]]/1000*(1129)</f>
        <v>9141.5468700000001</v>
      </c>
      <c r="I203" s="1"/>
    </row>
    <row r="204" spans="1:9" x14ac:dyDescent="0.25">
      <c r="A204">
        <v>1308</v>
      </c>
      <c r="B204" t="s">
        <v>194</v>
      </c>
      <c r="C204" t="str">
        <f t="shared" si="3"/>
        <v>66,2</v>
      </c>
      <c r="D204" s="2">
        <v>57.6</v>
      </c>
      <c r="E204" s="1">
        <v>2780.07</v>
      </c>
      <c r="F204" s="1">
        <f>Tabela1[[#This Row],[PR.CUSTO+FRETE]]-Tabela1[[#This Row],[FRETE]]</f>
        <v>2715.0396000000001</v>
      </c>
      <c r="G204" s="1">
        <v>4285.99</v>
      </c>
      <c r="H204" s="1">
        <f>Tabela1[[#This Row],[PESO UND]]/1000*(1129)</f>
        <v>65.0304</v>
      </c>
      <c r="I204" s="1"/>
    </row>
    <row r="205" spans="1:9" x14ac:dyDescent="0.25">
      <c r="A205">
        <v>1307</v>
      </c>
      <c r="B205" t="s">
        <v>195</v>
      </c>
      <c r="C205" t="str">
        <f t="shared" si="3"/>
        <v>66,2</v>
      </c>
      <c r="D205" s="2">
        <v>413.3</v>
      </c>
      <c r="E205" s="1">
        <v>7786.98</v>
      </c>
      <c r="F205" s="1">
        <f>Tabela1[[#This Row],[PR.CUSTO+FRETE]]-Tabela1[[#This Row],[FRETE]]</f>
        <v>7320.3642999999993</v>
      </c>
      <c r="G205" s="1">
        <v>11555.71</v>
      </c>
      <c r="H205" s="1">
        <f>Tabela1[[#This Row],[PESO UND]]/1000*(1129)</f>
        <v>466.6157</v>
      </c>
      <c r="I205" s="1"/>
    </row>
    <row r="206" spans="1:9" x14ac:dyDescent="0.25">
      <c r="A206">
        <v>1306</v>
      </c>
      <c r="B206" t="s">
        <v>196</v>
      </c>
      <c r="C206" t="str">
        <f t="shared" si="3"/>
        <v>66,2</v>
      </c>
      <c r="D206" s="2">
        <v>413.3</v>
      </c>
      <c r="E206" s="1">
        <v>7524.73</v>
      </c>
      <c r="F206" s="1">
        <f>Tabela1[[#This Row],[PR.CUSTO+FRETE]]-Tabela1[[#This Row],[FRETE]]</f>
        <v>7058.1142999999993</v>
      </c>
      <c r="G206" s="1">
        <v>11141.74</v>
      </c>
      <c r="H206" s="1">
        <f>Tabela1[[#This Row],[PESO UND]]/1000*(1129)</f>
        <v>466.6157</v>
      </c>
      <c r="I206" s="1"/>
    </row>
    <row r="207" spans="1:9" x14ac:dyDescent="0.25">
      <c r="A207">
        <v>380</v>
      </c>
      <c r="B207" t="s">
        <v>197</v>
      </c>
      <c r="C207" t="str">
        <f t="shared" si="3"/>
        <v>101,</v>
      </c>
      <c r="D207" s="2">
        <v>14081.26</v>
      </c>
      <c r="E207" s="1">
        <v>78677.91</v>
      </c>
      <c r="F207" s="1">
        <f>Tabela1[[#This Row],[PR.CUSTO+FRETE]]-Tabela1[[#This Row],[FRETE]]</f>
        <v>62780.167460000004</v>
      </c>
      <c r="G207" s="1">
        <v>129436.75</v>
      </c>
      <c r="H207" s="1">
        <f>Tabela1[[#This Row],[PESO UND]]/1000*(1129)</f>
        <v>15897.742540000001</v>
      </c>
      <c r="I207" s="1"/>
    </row>
    <row r="208" spans="1:9" x14ac:dyDescent="0.25">
      <c r="A208">
        <v>383</v>
      </c>
      <c r="B208" t="s">
        <v>198</v>
      </c>
      <c r="C208" t="str">
        <f t="shared" si="3"/>
        <v>101,</v>
      </c>
      <c r="D208" s="2">
        <v>75</v>
      </c>
      <c r="E208" s="1">
        <v>3274.08</v>
      </c>
      <c r="F208" s="1">
        <f>Tabela1[[#This Row],[PR.CUSTO+FRETE]]-Tabela1[[#This Row],[FRETE]]</f>
        <v>3189.4049999999997</v>
      </c>
      <c r="G208" s="1">
        <v>5034.82</v>
      </c>
      <c r="H208" s="1">
        <f>Tabela1[[#This Row],[PESO UND]]/1000*(1129)</f>
        <v>84.674999999999997</v>
      </c>
      <c r="I208" s="1"/>
    </row>
    <row r="209" spans="1:9" x14ac:dyDescent="0.25">
      <c r="A209">
        <v>382</v>
      </c>
      <c r="B209" t="s">
        <v>199</v>
      </c>
      <c r="C209" t="str">
        <f t="shared" si="3"/>
        <v>101,</v>
      </c>
      <c r="D209" s="2">
        <v>552.29999999999995</v>
      </c>
      <c r="E209" s="1">
        <v>10417.6</v>
      </c>
      <c r="F209" s="1">
        <f>Tabela1[[#This Row],[PR.CUSTO+FRETE]]-Tabela1[[#This Row],[FRETE]]</f>
        <v>9794.0532999999996</v>
      </c>
      <c r="G209" s="1">
        <v>15460.6</v>
      </c>
      <c r="H209" s="1">
        <f>Tabela1[[#This Row],[PESO UND]]/1000*(1129)</f>
        <v>623.54669999999987</v>
      </c>
      <c r="I209" s="1"/>
    </row>
    <row r="210" spans="1:9" x14ac:dyDescent="0.25">
      <c r="A210">
        <v>381</v>
      </c>
      <c r="B210" t="s">
        <v>200</v>
      </c>
      <c r="C210" t="str">
        <f t="shared" si="3"/>
        <v>101,</v>
      </c>
      <c r="D210" s="2">
        <v>546.29999999999995</v>
      </c>
      <c r="E210" s="1">
        <v>9945.61</v>
      </c>
      <c r="F210" s="1">
        <f>Tabela1[[#This Row],[PR.CUSTO+FRETE]]-Tabela1[[#This Row],[FRETE]]</f>
        <v>9328.8373000000011</v>
      </c>
      <c r="G210" s="1">
        <v>14726.22</v>
      </c>
      <c r="H210" s="1">
        <f>Tabela1[[#This Row],[PESO UND]]/1000*(1129)</f>
        <v>616.77269999999999</v>
      </c>
      <c r="I210" s="1"/>
    </row>
    <row r="211" spans="1:9" x14ac:dyDescent="0.25">
      <c r="A211">
        <v>1179</v>
      </c>
      <c r="B211" t="s">
        <v>201</v>
      </c>
      <c r="C211" t="str">
        <f t="shared" si="3"/>
        <v>155,</v>
      </c>
      <c r="D211" s="2">
        <v>19358.93</v>
      </c>
      <c r="E211" s="1">
        <v>72997.289999999994</v>
      </c>
      <c r="F211" s="1">
        <f>Tabela1[[#This Row],[PR.CUSTO+FRETE]]-Tabela1[[#This Row],[FRETE]]</f>
        <v>51141.058029999993</v>
      </c>
      <c r="G211" s="1">
        <v>107800.22</v>
      </c>
      <c r="H211" s="1">
        <f>Tabela1[[#This Row],[PESO UND]]/1000*(1129)</f>
        <v>21856.231970000001</v>
      </c>
      <c r="I211" s="1"/>
    </row>
    <row r="212" spans="1:9" x14ac:dyDescent="0.25">
      <c r="A212">
        <v>1272</v>
      </c>
      <c r="B212" t="s">
        <v>202</v>
      </c>
      <c r="C212" t="str">
        <f t="shared" si="3"/>
        <v>155,</v>
      </c>
      <c r="D212" s="2">
        <v>93.6</v>
      </c>
      <c r="E212" s="1">
        <v>4517.6099999999997</v>
      </c>
      <c r="F212" s="1">
        <f>Tabela1[[#This Row],[PR.CUSTO+FRETE]]-Tabela1[[#This Row],[FRETE]]</f>
        <v>4411.9355999999998</v>
      </c>
      <c r="G212" s="1">
        <v>6964.73</v>
      </c>
      <c r="H212" s="1">
        <f>Tabela1[[#This Row],[PESO UND]]/1000*(1129)</f>
        <v>105.67439999999999</v>
      </c>
      <c r="I212" s="1"/>
    </row>
    <row r="213" spans="1:9" x14ac:dyDescent="0.25">
      <c r="A213">
        <v>1271</v>
      </c>
      <c r="B213" t="s">
        <v>203</v>
      </c>
      <c r="C213" t="str">
        <f t="shared" si="3"/>
        <v>155,</v>
      </c>
      <c r="D213" s="2">
        <v>1090.2</v>
      </c>
      <c r="E213" s="1">
        <v>20434.16</v>
      </c>
      <c r="F213" s="1">
        <f>Tabela1[[#This Row],[PR.CUSTO+FRETE]]-Tabela1[[#This Row],[FRETE]]</f>
        <v>19203.324199999999</v>
      </c>
      <c r="G213" s="1">
        <v>30313.8</v>
      </c>
      <c r="H213" s="1">
        <f>Tabela1[[#This Row],[PESO UND]]/1000*(1129)</f>
        <v>1230.8358000000001</v>
      </c>
      <c r="I213" s="1"/>
    </row>
    <row r="214" spans="1:9" x14ac:dyDescent="0.25">
      <c r="A214">
        <v>1270</v>
      </c>
      <c r="B214" t="s">
        <v>204</v>
      </c>
      <c r="C214" t="str">
        <f t="shared" si="3"/>
        <v>155,</v>
      </c>
      <c r="D214" s="2">
        <v>1090.2</v>
      </c>
      <c r="E214" s="1">
        <v>19750.080000000002</v>
      </c>
      <c r="F214" s="1">
        <f>Tabela1[[#This Row],[PR.CUSTO+FRETE]]-Tabela1[[#This Row],[FRETE]]</f>
        <v>18519.244200000001</v>
      </c>
      <c r="G214" s="1">
        <v>29233.94</v>
      </c>
      <c r="H214" s="1">
        <f>Tabela1[[#This Row],[PESO UND]]/1000*(1129)</f>
        <v>1230.8358000000001</v>
      </c>
      <c r="I214" s="1"/>
    </row>
    <row r="215" spans="1:9" x14ac:dyDescent="0.25">
      <c r="A215">
        <v>1296</v>
      </c>
      <c r="B215" t="s">
        <v>205</v>
      </c>
      <c r="C215" t="str">
        <f t="shared" si="3"/>
        <v>228,</v>
      </c>
      <c r="D215" s="2">
        <v>27190.97</v>
      </c>
      <c r="E215" s="1">
        <v>141088.91</v>
      </c>
      <c r="F215" s="1">
        <f>Tabela1[[#This Row],[PR.CUSTO+FRETE]]-Tabela1[[#This Row],[FRETE]]</f>
        <v>110390.30487000001</v>
      </c>
      <c r="G215" s="1">
        <v>231031.1699999999</v>
      </c>
      <c r="H215" s="1">
        <f>Tabela1[[#This Row],[PESO UND]]/1000*(1129)</f>
        <v>30698.60513</v>
      </c>
      <c r="I215" s="1"/>
    </row>
    <row r="216" spans="1:9" x14ac:dyDescent="0.25">
      <c r="A216">
        <v>1299</v>
      </c>
      <c r="B216" t="s">
        <v>206</v>
      </c>
      <c r="C216" t="str">
        <f t="shared" si="3"/>
        <v>228,</v>
      </c>
      <c r="D216" s="2">
        <v>187.2</v>
      </c>
      <c r="E216" s="1">
        <v>9035.23</v>
      </c>
      <c r="F216" s="1">
        <f>Tabela1[[#This Row],[PR.CUSTO+FRETE]]-Tabela1[[#This Row],[FRETE]]</f>
        <v>8823.8811999999998</v>
      </c>
      <c r="G216" s="1">
        <v>13929.45</v>
      </c>
      <c r="H216" s="1">
        <f>Tabela1[[#This Row],[PESO UND]]/1000*(1129)</f>
        <v>211.34879999999998</v>
      </c>
      <c r="I216" s="1"/>
    </row>
    <row r="217" spans="1:9" x14ac:dyDescent="0.25">
      <c r="A217">
        <v>1298</v>
      </c>
      <c r="B217" t="s">
        <v>207</v>
      </c>
      <c r="C217" t="str">
        <f t="shared" si="3"/>
        <v>228,</v>
      </c>
      <c r="D217" s="2">
        <v>1327.8</v>
      </c>
      <c r="E217" s="1">
        <v>24918.74</v>
      </c>
      <c r="F217" s="1">
        <f>Tabela1[[#This Row],[PR.CUSTO+FRETE]]-Tabela1[[#This Row],[FRETE]]</f>
        <v>23419.6538</v>
      </c>
      <c r="G217" s="1">
        <v>36969.58</v>
      </c>
      <c r="H217" s="1">
        <f>Tabela1[[#This Row],[PESO UND]]/1000*(1129)</f>
        <v>1499.0862</v>
      </c>
      <c r="I217" s="1"/>
    </row>
    <row r="218" spans="1:9" x14ac:dyDescent="0.25">
      <c r="A218">
        <v>1297</v>
      </c>
      <c r="B218" t="s">
        <v>208</v>
      </c>
      <c r="C218" t="str">
        <f t="shared" si="3"/>
        <v>228,</v>
      </c>
      <c r="D218" s="2">
        <v>1327.8</v>
      </c>
      <c r="E218" s="1">
        <v>24074.32</v>
      </c>
      <c r="F218" s="1">
        <f>Tabela1[[#This Row],[PR.CUSTO+FRETE]]-Tabela1[[#This Row],[FRETE]]</f>
        <v>22575.233799999998</v>
      </c>
      <c r="G218" s="1">
        <v>35636.61</v>
      </c>
      <c r="H218" s="1">
        <f>Tabela1[[#This Row],[PESO UND]]/1000*(1129)</f>
        <v>1499.0862</v>
      </c>
      <c r="I218" s="1"/>
    </row>
    <row r="219" spans="1:9" x14ac:dyDescent="0.25">
      <c r="A219">
        <v>509</v>
      </c>
      <c r="B219" t="s">
        <v>209</v>
      </c>
      <c r="C219" t="str">
        <f t="shared" si="3"/>
        <v>163,</v>
      </c>
      <c r="D219" s="2">
        <v>17123.439999999999</v>
      </c>
      <c r="E219" s="1">
        <v>94014.77</v>
      </c>
      <c r="F219" s="1">
        <f>Tabela1[[#This Row],[PR.CUSTO+FRETE]]-Tabela1[[#This Row],[FRETE]]</f>
        <v>74682.406240000011</v>
      </c>
      <c r="G219" s="1">
        <v>154741.38</v>
      </c>
      <c r="H219" s="1">
        <f>Tabela1[[#This Row],[PESO UND]]/1000*(1129)</f>
        <v>19332.36376</v>
      </c>
      <c r="I219" s="1"/>
    </row>
    <row r="220" spans="1:9" x14ac:dyDescent="0.25">
      <c r="A220">
        <v>512</v>
      </c>
      <c r="B220" t="s">
        <v>210</v>
      </c>
      <c r="C220" t="str">
        <f t="shared" si="3"/>
        <v>163,</v>
      </c>
      <c r="D220" s="2">
        <v>112.5</v>
      </c>
      <c r="E220" s="1">
        <v>4911.1099999999997</v>
      </c>
      <c r="F220" s="1">
        <f>Tabela1[[#This Row],[PR.CUSTO+FRETE]]-Tabela1[[#This Row],[FRETE]]</f>
        <v>4784.0974999999999</v>
      </c>
      <c r="G220" s="1">
        <v>7552.23</v>
      </c>
      <c r="H220" s="1">
        <f>Tabela1[[#This Row],[PESO UND]]/1000*(1129)</f>
        <v>127.0125</v>
      </c>
      <c r="I220" s="1"/>
    </row>
    <row r="221" spans="1:9" x14ac:dyDescent="0.25">
      <c r="A221">
        <v>511</v>
      </c>
      <c r="B221" t="s">
        <v>211</v>
      </c>
      <c r="C221" t="str">
        <f t="shared" si="3"/>
        <v>163,</v>
      </c>
      <c r="D221" s="2">
        <v>866.2</v>
      </c>
      <c r="E221" s="1">
        <v>16326.67</v>
      </c>
      <c r="F221" s="1">
        <f>Tabela1[[#This Row],[PR.CUSTO+FRETE]]-Tabela1[[#This Row],[FRETE]]</f>
        <v>15348.7302</v>
      </c>
      <c r="G221" s="1">
        <v>24229.07</v>
      </c>
      <c r="H221" s="1">
        <f>Tabela1[[#This Row],[PESO UND]]/1000*(1129)</f>
        <v>977.9398000000001</v>
      </c>
      <c r="I221" s="1"/>
    </row>
    <row r="222" spans="1:9" x14ac:dyDescent="0.25">
      <c r="A222">
        <v>510</v>
      </c>
      <c r="B222" t="s">
        <v>212</v>
      </c>
      <c r="C222" t="str">
        <f t="shared" si="3"/>
        <v>163,</v>
      </c>
      <c r="D222" s="2">
        <v>866.2</v>
      </c>
      <c r="E222" s="1">
        <v>15771.88</v>
      </c>
      <c r="F222" s="1">
        <f>Tabela1[[#This Row],[PR.CUSTO+FRETE]]-Tabela1[[#This Row],[FRETE]]</f>
        <v>14793.940199999999</v>
      </c>
      <c r="G222" s="1">
        <v>23353.29</v>
      </c>
      <c r="H222" s="1">
        <f>Tabela1[[#This Row],[PESO UND]]/1000*(1129)</f>
        <v>977.9398000000001</v>
      </c>
      <c r="I222" s="1"/>
    </row>
    <row r="223" spans="1:9" x14ac:dyDescent="0.25">
      <c r="A223">
        <v>532</v>
      </c>
      <c r="B223" t="s">
        <v>213</v>
      </c>
      <c r="C223" t="str">
        <f t="shared" si="3"/>
        <v>103,</v>
      </c>
      <c r="D223" s="2">
        <v>12405.19</v>
      </c>
      <c r="E223" s="1">
        <v>69673.600000000006</v>
      </c>
      <c r="F223" s="1">
        <f>Tabela1[[#This Row],[PR.CUSTO+FRETE]]-Tabela1[[#This Row],[FRETE]]</f>
        <v>55668.140490000005</v>
      </c>
      <c r="G223" s="1">
        <v>115528.7</v>
      </c>
      <c r="H223" s="1">
        <f>Tabela1[[#This Row],[PESO UND]]/1000*(1129)</f>
        <v>14005.459510000001</v>
      </c>
      <c r="I223" s="1"/>
    </row>
    <row r="224" spans="1:9" x14ac:dyDescent="0.25">
      <c r="A224">
        <v>535</v>
      </c>
      <c r="B224" t="s">
        <v>214</v>
      </c>
      <c r="C224" t="str">
        <f t="shared" si="3"/>
        <v>103,</v>
      </c>
      <c r="D224" s="2">
        <v>90</v>
      </c>
      <c r="E224" s="1">
        <v>3928.89</v>
      </c>
      <c r="F224" s="1">
        <f>Tabela1[[#This Row],[PR.CUSTO+FRETE]]-Tabela1[[#This Row],[FRETE]]</f>
        <v>3827.2799999999997</v>
      </c>
      <c r="G224" s="1">
        <v>6041.79</v>
      </c>
      <c r="H224" s="1">
        <f>Tabela1[[#This Row],[PESO UND]]/1000*(1129)</f>
        <v>101.61</v>
      </c>
      <c r="I224" s="1"/>
    </row>
    <row r="225" spans="1:9" x14ac:dyDescent="0.25">
      <c r="A225">
        <v>536</v>
      </c>
      <c r="B225" t="s">
        <v>215</v>
      </c>
      <c r="C225" t="str">
        <f t="shared" si="3"/>
        <v>103,</v>
      </c>
      <c r="D225" s="2">
        <v>72.5</v>
      </c>
      <c r="E225" s="1">
        <v>10385.84</v>
      </c>
      <c r="F225" s="1">
        <f>Tabela1[[#This Row],[PR.CUSTO+FRETE]]-Tabela1[[#This Row],[FRETE]]</f>
        <v>10303.987499999999</v>
      </c>
      <c r="G225" s="1">
        <v>16265.57</v>
      </c>
      <c r="H225" s="1">
        <f>Tabela1[[#This Row],[PESO UND]]/1000*(1129)</f>
        <v>81.852499999999992</v>
      </c>
      <c r="I225" s="1"/>
    </row>
    <row r="226" spans="1:9" x14ac:dyDescent="0.25">
      <c r="A226">
        <v>534</v>
      </c>
      <c r="B226" t="s">
        <v>216</v>
      </c>
      <c r="C226" t="str">
        <f t="shared" si="3"/>
        <v>103,</v>
      </c>
      <c r="D226" s="2">
        <v>721.6</v>
      </c>
      <c r="E226" s="1">
        <v>13570.34</v>
      </c>
      <c r="F226" s="1">
        <f>Tabela1[[#This Row],[PR.CUSTO+FRETE]]-Tabela1[[#This Row],[FRETE]]</f>
        <v>12755.6536</v>
      </c>
      <c r="G226" s="1">
        <v>20135.73</v>
      </c>
      <c r="H226" s="1">
        <f>Tabela1[[#This Row],[PESO UND]]/1000*(1129)</f>
        <v>814.68640000000005</v>
      </c>
      <c r="I226" s="1"/>
    </row>
    <row r="227" spans="1:9" x14ac:dyDescent="0.25">
      <c r="A227">
        <v>533</v>
      </c>
      <c r="B227" t="s">
        <v>217</v>
      </c>
      <c r="C227" t="str">
        <f t="shared" si="3"/>
        <v>103,</v>
      </c>
      <c r="D227" s="2">
        <v>721.6</v>
      </c>
      <c r="E227" s="1">
        <v>13112.41</v>
      </c>
      <c r="F227" s="1">
        <f>Tabela1[[#This Row],[PR.CUSTO+FRETE]]-Tabela1[[#This Row],[FRETE]]</f>
        <v>12297.723599999999</v>
      </c>
      <c r="G227" s="1">
        <v>19412.84</v>
      </c>
      <c r="H227" s="1">
        <f>Tabela1[[#This Row],[PESO UND]]/1000*(1129)</f>
        <v>814.68640000000005</v>
      </c>
      <c r="I227" s="1"/>
    </row>
    <row r="228" spans="1:9" x14ac:dyDescent="0.25">
      <c r="A228">
        <v>559</v>
      </c>
      <c r="B228" t="s">
        <v>218</v>
      </c>
      <c r="C228" t="str">
        <f t="shared" si="3"/>
        <v>48,8</v>
      </c>
      <c r="D228" s="2">
        <v>7277.05</v>
      </c>
      <c r="E228" s="1">
        <v>39442.93</v>
      </c>
      <c r="F228" s="1">
        <f>Tabela1[[#This Row],[PR.CUSTO+FRETE]]-Tabela1[[#This Row],[FRETE]]</f>
        <v>31227.14055</v>
      </c>
      <c r="G228" s="1">
        <v>64761.72</v>
      </c>
      <c r="H228" s="1">
        <f>Tabela1[[#This Row],[PESO UND]]/1000*(1129)</f>
        <v>8215.7894500000002</v>
      </c>
      <c r="I228" s="1"/>
    </row>
    <row r="229" spans="1:9" x14ac:dyDescent="0.25">
      <c r="A229">
        <v>562</v>
      </c>
      <c r="B229" t="s">
        <v>219</v>
      </c>
      <c r="C229" t="str">
        <f t="shared" si="3"/>
        <v>48,8</v>
      </c>
      <c r="D229" s="2">
        <v>52.5</v>
      </c>
      <c r="E229" s="1">
        <v>2291.85</v>
      </c>
      <c r="F229" s="1">
        <f>Tabela1[[#This Row],[PR.CUSTO+FRETE]]-Tabela1[[#This Row],[FRETE]]</f>
        <v>2232.5774999999999</v>
      </c>
      <c r="G229" s="1">
        <v>3524.38</v>
      </c>
      <c r="H229" s="1">
        <f>Tabela1[[#This Row],[PESO UND]]/1000*(1129)</f>
        <v>59.272500000000001</v>
      </c>
      <c r="I229" s="1"/>
    </row>
    <row r="230" spans="1:9" x14ac:dyDescent="0.25">
      <c r="A230">
        <v>561</v>
      </c>
      <c r="B230" t="s">
        <v>220</v>
      </c>
      <c r="C230" t="str">
        <f t="shared" si="3"/>
        <v>48,8</v>
      </c>
      <c r="D230" s="2">
        <v>505.2</v>
      </c>
      <c r="E230" s="1">
        <v>9495.51</v>
      </c>
      <c r="F230" s="1">
        <f>Tabela1[[#This Row],[PR.CUSTO+FRETE]]-Tabela1[[#This Row],[FRETE]]</f>
        <v>8925.1391999999996</v>
      </c>
      <c r="G230" s="1">
        <v>14088.95</v>
      </c>
      <c r="H230" s="1">
        <f>Tabela1[[#This Row],[PESO UND]]/1000*(1129)</f>
        <v>570.37080000000003</v>
      </c>
      <c r="I230" s="1"/>
    </row>
    <row r="231" spans="1:9" x14ac:dyDescent="0.25">
      <c r="A231">
        <v>560</v>
      </c>
      <c r="B231" t="s">
        <v>221</v>
      </c>
      <c r="C231" t="str">
        <f t="shared" si="3"/>
        <v>48,8</v>
      </c>
      <c r="D231" s="2">
        <v>505.2</v>
      </c>
      <c r="E231" s="1">
        <v>9170.98</v>
      </c>
      <c r="F231" s="1">
        <f>Tabela1[[#This Row],[PR.CUSTO+FRETE]]-Tabela1[[#This Row],[FRETE]]</f>
        <v>8600.609199999999</v>
      </c>
      <c r="G231" s="1">
        <v>13576.67</v>
      </c>
      <c r="H231" s="1">
        <f>Tabela1[[#This Row],[PESO UND]]/1000*(1129)</f>
        <v>570.37080000000003</v>
      </c>
      <c r="I231" s="1"/>
    </row>
    <row r="232" spans="1:9" x14ac:dyDescent="0.25">
      <c r="A232">
        <v>390</v>
      </c>
      <c r="B232" t="s">
        <v>222</v>
      </c>
      <c r="C232" t="str">
        <f t="shared" si="3"/>
        <v>122,</v>
      </c>
      <c r="D232" s="2">
        <v>10954.64</v>
      </c>
      <c r="E232" s="1">
        <v>62138.44</v>
      </c>
      <c r="F232" s="1">
        <f>Tabela1[[#This Row],[PR.CUSTO+FRETE]]-Tabela1[[#This Row],[FRETE]]</f>
        <v>49770.651440000001</v>
      </c>
      <c r="G232" s="1">
        <v>104299.33</v>
      </c>
      <c r="H232" s="1">
        <f>Tabela1[[#This Row],[PESO UND]]/1000*(1129)</f>
        <v>12367.788559999999</v>
      </c>
      <c r="I232" s="1"/>
    </row>
    <row r="233" spans="1:9" x14ac:dyDescent="0.25">
      <c r="A233">
        <v>394</v>
      </c>
      <c r="B233" t="s">
        <v>223</v>
      </c>
      <c r="C233" t="str">
        <f t="shared" si="3"/>
        <v>122,</v>
      </c>
      <c r="D233" s="2">
        <v>297.89999999999998</v>
      </c>
      <c r="E233" s="1">
        <v>2267.5300000000002</v>
      </c>
      <c r="F233" s="1">
        <f>Tabela1[[#This Row],[PR.CUSTO+FRETE]]-Tabela1[[#This Row],[FRETE]]</f>
        <v>1931.2009000000003</v>
      </c>
      <c r="G233" s="1">
        <v>3904.61</v>
      </c>
      <c r="H233" s="1">
        <f>Tabela1[[#This Row],[PESO UND]]/1000*(1129)</f>
        <v>336.32909999999998</v>
      </c>
      <c r="I233" s="1"/>
    </row>
    <row r="234" spans="1:9" x14ac:dyDescent="0.25">
      <c r="A234">
        <v>393</v>
      </c>
      <c r="B234" t="s">
        <v>224</v>
      </c>
      <c r="C234" t="str">
        <f t="shared" si="3"/>
        <v>122,</v>
      </c>
      <c r="D234" s="2">
        <v>75</v>
      </c>
      <c r="E234" s="1">
        <v>3274.08</v>
      </c>
      <c r="F234" s="1">
        <f>Tabela1[[#This Row],[PR.CUSTO+FRETE]]-Tabela1[[#This Row],[FRETE]]</f>
        <v>3189.4049999999997</v>
      </c>
      <c r="G234" s="1">
        <v>5034.82</v>
      </c>
      <c r="H234" s="1">
        <f>Tabela1[[#This Row],[PESO UND]]/1000*(1129)</f>
        <v>84.674999999999997</v>
      </c>
      <c r="I234" s="1"/>
    </row>
    <row r="235" spans="1:9" x14ac:dyDescent="0.25">
      <c r="A235">
        <v>392</v>
      </c>
      <c r="B235" t="s">
        <v>225</v>
      </c>
      <c r="C235" t="str">
        <f t="shared" si="3"/>
        <v>122,</v>
      </c>
      <c r="D235" s="2">
        <v>826.9</v>
      </c>
      <c r="E235" s="1">
        <v>15544.98</v>
      </c>
      <c r="F235" s="1">
        <f>Tabela1[[#This Row],[PR.CUSTO+FRETE]]-Tabela1[[#This Row],[FRETE]]</f>
        <v>14611.409899999999</v>
      </c>
      <c r="G235" s="1">
        <v>23065.119999999999</v>
      </c>
      <c r="H235" s="1">
        <f>Tabela1[[#This Row],[PESO UND]]/1000*(1129)</f>
        <v>933.57009999999991</v>
      </c>
      <c r="I235" s="1"/>
    </row>
    <row r="236" spans="1:9" x14ac:dyDescent="0.25">
      <c r="A236">
        <v>391</v>
      </c>
      <c r="B236" t="s">
        <v>226</v>
      </c>
      <c r="C236" t="str">
        <f t="shared" si="3"/>
        <v>122,</v>
      </c>
      <c r="D236" s="2">
        <v>826.9</v>
      </c>
      <c r="E236" s="1">
        <v>15019.11</v>
      </c>
      <c r="F236" s="1">
        <f>Tabela1[[#This Row],[PR.CUSTO+FRETE]]-Tabela1[[#This Row],[FRETE]]</f>
        <v>14085.5399</v>
      </c>
      <c r="G236" s="1">
        <v>22235</v>
      </c>
      <c r="H236" s="1">
        <f>Tabela1[[#This Row],[PESO UND]]/1000*(1129)</f>
        <v>933.57009999999991</v>
      </c>
      <c r="I236" s="1"/>
    </row>
    <row r="237" spans="1:9" x14ac:dyDescent="0.25">
      <c r="A237">
        <v>1121</v>
      </c>
      <c r="B237" t="s">
        <v>227</v>
      </c>
      <c r="C237" t="str">
        <f t="shared" si="3"/>
        <v>86,9</v>
      </c>
      <c r="D237" s="2">
        <v>8150.42</v>
      </c>
      <c r="E237" s="1">
        <v>46053.89</v>
      </c>
      <c r="F237" s="1">
        <f>Tabela1[[#This Row],[PR.CUSTO+FRETE]]-Tabela1[[#This Row],[FRETE]]</f>
        <v>36852.065820000003</v>
      </c>
      <c r="G237" s="1">
        <v>76401.600000000006</v>
      </c>
      <c r="H237" s="1">
        <f>Tabela1[[#This Row],[PESO UND]]/1000*(1129)</f>
        <v>9201.8241799999996</v>
      </c>
      <c r="I237" s="1"/>
    </row>
    <row r="238" spans="1:9" x14ac:dyDescent="0.25">
      <c r="A238">
        <v>1230</v>
      </c>
      <c r="B238" t="s">
        <v>228</v>
      </c>
      <c r="C238" t="str">
        <f t="shared" si="3"/>
        <v>86,9</v>
      </c>
      <c r="D238" s="2">
        <v>104.45</v>
      </c>
      <c r="E238" s="1">
        <v>2150.87</v>
      </c>
      <c r="F238" s="1">
        <f>Tabela1[[#This Row],[PR.CUSTO+FRETE]]-Tabela1[[#This Row],[FRETE]]</f>
        <v>2032.9459499999998</v>
      </c>
      <c r="G238" s="1">
        <v>3209.15</v>
      </c>
      <c r="H238" s="1">
        <f>Tabela1[[#This Row],[PESO UND]]/1000*(1129)</f>
        <v>117.92405000000001</v>
      </c>
      <c r="I238" s="1"/>
    </row>
    <row r="239" spans="1:9" x14ac:dyDescent="0.25">
      <c r="A239">
        <v>1124</v>
      </c>
      <c r="B239" t="s">
        <v>229</v>
      </c>
      <c r="C239" t="str">
        <f t="shared" si="3"/>
        <v>86,9</v>
      </c>
      <c r="D239" s="2">
        <v>63.75</v>
      </c>
      <c r="E239" s="1">
        <v>2782.96</v>
      </c>
      <c r="F239" s="1">
        <f>Tabela1[[#This Row],[PR.CUSTO+FRETE]]-Tabela1[[#This Row],[FRETE]]</f>
        <v>2710.9862499999999</v>
      </c>
      <c r="G239" s="1">
        <v>4279.6000000000004</v>
      </c>
      <c r="H239" s="1">
        <f>Tabela1[[#This Row],[PESO UND]]/1000*(1129)</f>
        <v>71.973749999999995</v>
      </c>
      <c r="I239" s="1"/>
    </row>
    <row r="240" spans="1:9" x14ac:dyDescent="0.25">
      <c r="A240">
        <v>1123</v>
      </c>
      <c r="B240" t="s">
        <v>230</v>
      </c>
      <c r="C240" t="str">
        <f t="shared" si="3"/>
        <v>86,9</v>
      </c>
      <c r="D240" s="2">
        <v>714.9</v>
      </c>
      <c r="E240" s="1">
        <v>13397.49</v>
      </c>
      <c r="F240" s="1">
        <f>Tabela1[[#This Row],[PR.CUSTO+FRETE]]-Tabela1[[#This Row],[FRETE]]</f>
        <v>12590.367899999999</v>
      </c>
      <c r="G240" s="1">
        <v>19874.79</v>
      </c>
      <c r="H240" s="1">
        <f>Tabela1[[#This Row],[PESO UND]]/1000*(1129)</f>
        <v>807.12209999999993</v>
      </c>
      <c r="I240" s="1"/>
    </row>
    <row r="241" spans="1:9" x14ac:dyDescent="0.25">
      <c r="A241">
        <v>1122</v>
      </c>
      <c r="B241" t="s">
        <v>231</v>
      </c>
      <c r="C241" t="str">
        <f t="shared" si="3"/>
        <v>86,9</v>
      </c>
      <c r="D241" s="2">
        <v>714.9</v>
      </c>
      <c r="E241" s="1">
        <v>12942.77</v>
      </c>
      <c r="F241" s="1">
        <f>Tabela1[[#This Row],[PR.CUSTO+FRETE]]-Tabela1[[#This Row],[FRETE]]</f>
        <v>12135.6479</v>
      </c>
      <c r="G241" s="1">
        <v>19156.98</v>
      </c>
      <c r="H241" s="1">
        <f>Tabela1[[#This Row],[PESO UND]]/1000*(1129)</f>
        <v>807.12209999999993</v>
      </c>
      <c r="I241" s="1"/>
    </row>
    <row r="242" spans="1:9" x14ac:dyDescent="0.25">
      <c r="A242">
        <v>1157</v>
      </c>
      <c r="B242" t="s">
        <v>232</v>
      </c>
      <c r="C242" t="str">
        <f t="shared" si="3"/>
        <v>119,</v>
      </c>
      <c r="D242" s="2">
        <v>8572.2900000000009</v>
      </c>
      <c r="E242" s="1">
        <v>43448.34</v>
      </c>
      <c r="F242" s="1">
        <f>Tabela1[[#This Row],[PR.CUSTO+FRETE]]-Tabela1[[#This Row],[FRETE]]</f>
        <v>33770.224589999998</v>
      </c>
      <c r="G242" s="1">
        <v>70186.58</v>
      </c>
      <c r="H242" s="1">
        <f>Tabela1[[#This Row],[PESO UND]]/1000*(1129)</f>
        <v>9678.1154100000003</v>
      </c>
      <c r="I242" s="1"/>
    </row>
    <row r="243" spans="1:9" x14ac:dyDescent="0.25">
      <c r="A243">
        <v>134</v>
      </c>
      <c r="B243" t="s">
        <v>233</v>
      </c>
      <c r="C243" t="str">
        <f t="shared" si="3"/>
        <v/>
      </c>
      <c r="D243" s="2">
        <v>31535.8</v>
      </c>
      <c r="E243" s="1">
        <v>199497.0199999999</v>
      </c>
      <c r="F243" s="1">
        <f>Tabela1[[#This Row],[PR.CUSTO+FRETE]]-Tabela1[[#This Row],[FRETE]]</f>
        <v>163893.10179999989</v>
      </c>
      <c r="G243" s="1">
        <v>343824.08</v>
      </c>
      <c r="H243" s="1">
        <f>Tabela1[[#This Row],[PESO UND]]/1000*(1129)</f>
        <v>35603.9182</v>
      </c>
      <c r="I243" s="1"/>
    </row>
    <row r="244" spans="1:9" x14ac:dyDescent="0.25">
      <c r="A244">
        <v>135</v>
      </c>
      <c r="B244" t="s">
        <v>234</v>
      </c>
      <c r="C244" t="str">
        <f t="shared" si="3"/>
        <v/>
      </c>
      <c r="D244" s="2">
        <v>1190.4000000000001</v>
      </c>
      <c r="E244" s="1">
        <v>21745.43</v>
      </c>
      <c r="F244" s="1">
        <f>Tabela1[[#This Row],[PR.CUSTO+FRETE]]-Tabela1[[#This Row],[FRETE]]</f>
        <v>20401.468400000002</v>
      </c>
      <c r="G244" s="1">
        <v>32205.17</v>
      </c>
      <c r="H244" s="1">
        <f>Tabela1[[#This Row],[PESO UND]]/1000*(1129)</f>
        <v>1343.9616000000001</v>
      </c>
      <c r="I244" s="1"/>
    </row>
    <row r="245" spans="1:9" x14ac:dyDescent="0.25">
      <c r="A245">
        <v>385</v>
      </c>
      <c r="B245" t="s">
        <v>235</v>
      </c>
      <c r="C245" t="str">
        <f t="shared" si="3"/>
        <v>81,3</v>
      </c>
      <c r="D245" s="2">
        <v>10821.74</v>
      </c>
      <c r="E245" s="1">
        <v>61013.9</v>
      </c>
      <c r="F245" s="1">
        <f>Tabela1[[#This Row],[PR.CUSTO+FRETE]]-Tabela1[[#This Row],[FRETE]]</f>
        <v>48796.15554</v>
      </c>
      <c r="G245" s="1">
        <v>99690.99</v>
      </c>
      <c r="H245" s="1">
        <f>Tabela1[[#This Row],[PESO UND]]/1000*(1129)</f>
        <v>12217.74446</v>
      </c>
      <c r="I245" s="1"/>
    </row>
    <row r="246" spans="1:9" x14ac:dyDescent="0.25">
      <c r="A246">
        <v>388</v>
      </c>
      <c r="B246" t="s">
        <v>236</v>
      </c>
      <c r="C246" t="str">
        <f t="shared" si="3"/>
        <v>81,3</v>
      </c>
      <c r="D246" s="2">
        <v>112.5</v>
      </c>
      <c r="E246" s="1">
        <v>3702.73</v>
      </c>
      <c r="F246" s="1">
        <f>Tabela1[[#This Row],[PR.CUSTO+FRETE]]-Tabela1[[#This Row],[FRETE]]</f>
        <v>3575.7175000000002</v>
      </c>
      <c r="G246" s="1">
        <v>5652.74</v>
      </c>
      <c r="H246" s="1">
        <f>Tabela1[[#This Row],[PESO UND]]/1000*(1129)</f>
        <v>127.0125</v>
      </c>
      <c r="I246" s="1"/>
    </row>
    <row r="247" spans="1:9" x14ac:dyDescent="0.25">
      <c r="A247">
        <v>387</v>
      </c>
      <c r="B247" t="s">
        <v>237</v>
      </c>
      <c r="C247" t="str">
        <f t="shared" si="3"/>
        <v>81,3</v>
      </c>
      <c r="D247" s="2">
        <v>377.3</v>
      </c>
      <c r="E247" s="1">
        <v>7124.94</v>
      </c>
      <c r="F247" s="1">
        <f>Tabela1[[#This Row],[PR.CUSTO+FRETE]]-Tabela1[[#This Row],[FRETE]]</f>
        <v>6698.9682999999995</v>
      </c>
      <c r="G247" s="1">
        <v>10574.8</v>
      </c>
      <c r="H247" s="1">
        <f>Tabela1[[#This Row],[PESO UND]]/1000*(1129)</f>
        <v>425.97170000000006</v>
      </c>
      <c r="I247" s="1"/>
    </row>
    <row r="248" spans="1:9" x14ac:dyDescent="0.25">
      <c r="A248">
        <v>386</v>
      </c>
      <c r="B248" t="s">
        <v>238</v>
      </c>
      <c r="C248" t="str">
        <f t="shared" si="3"/>
        <v>81,3</v>
      </c>
      <c r="D248" s="2">
        <v>377.3</v>
      </c>
      <c r="E248" s="1">
        <v>6884.12</v>
      </c>
      <c r="F248" s="1">
        <f>Tabela1[[#This Row],[PR.CUSTO+FRETE]]-Tabela1[[#This Row],[FRETE]]</f>
        <v>6458.1482999999998</v>
      </c>
      <c r="G248" s="1">
        <v>10194.64</v>
      </c>
      <c r="H248" s="1">
        <f>Tabela1[[#This Row],[PESO UND]]/1000*(1129)</f>
        <v>425.97170000000006</v>
      </c>
      <c r="I248" s="1"/>
    </row>
    <row r="249" spans="1:9" x14ac:dyDescent="0.25">
      <c r="A249">
        <v>1257</v>
      </c>
      <c r="B249" t="s">
        <v>239</v>
      </c>
      <c r="C249" t="str">
        <f t="shared" si="3"/>
        <v>77,2</v>
      </c>
      <c r="D249" s="2">
        <v>7944.5</v>
      </c>
      <c r="E249" s="1">
        <v>45463.33</v>
      </c>
      <c r="F249" s="1">
        <f>Tabela1[[#This Row],[PR.CUSTO+FRETE]]-Tabela1[[#This Row],[FRETE]]</f>
        <v>36493.989500000003</v>
      </c>
      <c r="G249" s="1">
        <v>74992.17</v>
      </c>
      <c r="H249" s="1">
        <f>Tabela1[[#This Row],[PESO UND]]/1000*(1129)</f>
        <v>8969.3405000000002</v>
      </c>
      <c r="I249" s="1"/>
    </row>
    <row r="250" spans="1:9" x14ac:dyDescent="0.25">
      <c r="A250">
        <v>1295</v>
      </c>
      <c r="B250" t="s">
        <v>240</v>
      </c>
      <c r="C250" t="str">
        <f t="shared" si="3"/>
        <v>77,2</v>
      </c>
      <c r="D250" s="2">
        <v>50.4</v>
      </c>
      <c r="E250" s="1">
        <v>2432.56</v>
      </c>
      <c r="F250" s="1">
        <f>Tabela1[[#This Row],[PR.CUSTO+FRETE]]-Tabela1[[#This Row],[FRETE]]</f>
        <v>2375.6583999999998</v>
      </c>
      <c r="G250" s="1">
        <v>3750.24</v>
      </c>
      <c r="H250" s="1">
        <f>Tabela1[[#This Row],[PESO UND]]/1000*(1129)</f>
        <v>56.901600000000002</v>
      </c>
      <c r="I250" s="1"/>
    </row>
    <row r="251" spans="1:9" x14ac:dyDescent="0.25">
      <c r="A251">
        <v>1294</v>
      </c>
      <c r="B251" t="s">
        <v>241</v>
      </c>
      <c r="C251" t="str">
        <f t="shared" si="3"/>
        <v>77,2</v>
      </c>
      <c r="D251" s="2">
        <v>452.5</v>
      </c>
      <c r="E251" s="1">
        <v>8496.42</v>
      </c>
      <c r="F251" s="1">
        <f>Tabela1[[#This Row],[PR.CUSTO+FRETE]]-Tabela1[[#This Row],[FRETE]]</f>
        <v>7985.5474999999997</v>
      </c>
      <c r="G251" s="1">
        <v>12605.76</v>
      </c>
      <c r="H251" s="1">
        <f>Tabela1[[#This Row],[PESO UND]]/1000*(1129)</f>
        <v>510.8725</v>
      </c>
      <c r="I251" s="1"/>
    </row>
    <row r="252" spans="1:9" x14ac:dyDescent="0.25">
      <c r="A252">
        <v>1292</v>
      </c>
      <c r="B252" t="s">
        <v>242</v>
      </c>
      <c r="C252" t="str">
        <f t="shared" si="3"/>
        <v>77,2</v>
      </c>
      <c r="D252" s="2">
        <v>452.5</v>
      </c>
      <c r="E252" s="1">
        <v>8208.7800000000007</v>
      </c>
      <c r="F252" s="1">
        <f>Tabela1[[#This Row],[PR.CUSTO+FRETE]]-Tabela1[[#This Row],[FRETE]]</f>
        <v>7697.9075000000003</v>
      </c>
      <c r="G252" s="1">
        <v>12151.68</v>
      </c>
      <c r="H252" s="1">
        <f>Tabela1[[#This Row],[PESO UND]]/1000*(1129)</f>
        <v>510.8725</v>
      </c>
      <c r="I252" s="1"/>
    </row>
    <row r="253" spans="1:9" x14ac:dyDescent="0.25">
      <c r="A253">
        <v>370</v>
      </c>
      <c r="B253" t="s">
        <v>243</v>
      </c>
      <c r="C253" t="str">
        <f t="shared" si="3"/>
        <v>185,</v>
      </c>
      <c r="D253" s="2">
        <v>14499.12</v>
      </c>
      <c r="E253" s="1">
        <v>77697.039999999994</v>
      </c>
      <c r="F253" s="1">
        <f>Tabela1[[#This Row],[PR.CUSTO+FRETE]]-Tabela1[[#This Row],[FRETE]]</f>
        <v>61327.53351999999</v>
      </c>
      <c r="G253" s="1">
        <v>127467.96</v>
      </c>
      <c r="H253" s="1">
        <f>Tabela1[[#This Row],[PESO UND]]/1000*(1129)</f>
        <v>16369.506480000002</v>
      </c>
      <c r="I253" s="1"/>
    </row>
    <row r="254" spans="1:9" x14ac:dyDescent="0.25">
      <c r="A254">
        <v>714</v>
      </c>
      <c r="B254" t="s">
        <v>244</v>
      </c>
      <c r="C254" t="str">
        <f t="shared" si="3"/>
        <v>185,</v>
      </c>
      <c r="D254" s="2">
        <v>4172.05</v>
      </c>
      <c r="E254" s="1">
        <v>27557.63</v>
      </c>
      <c r="F254" s="1">
        <f>Tabela1[[#This Row],[PR.CUSTO+FRETE]]-Tabela1[[#This Row],[FRETE]]</f>
        <v>22847.385549999999</v>
      </c>
      <c r="G254" s="1">
        <v>49731.77</v>
      </c>
      <c r="H254" s="1">
        <f>Tabela1[[#This Row],[PESO UND]]/1000*(1129)</f>
        <v>4710.2444500000001</v>
      </c>
      <c r="I254" s="1"/>
    </row>
    <row r="255" spans="1:9" x14ac:dyDescent="0.25">
      <c r="A255">
        <v>373</v>
      </c>
      <c r="B255" t="s">
        <v>245</v>
      </c>
      <c r="C255" t="str">
        <f t="shared" si="3"/>
        <v>185,</v>
      </c>
      <c r="D255" s="2">
        <v>97.5</v>
      </c>
      <c r="E255" s="1">
        <v>4256.3</v>
      </c>
      <c r="F255" s="1">
        <f>Tabela1[[#This Row],[PR.CUSTO+FRETE]]-Tabela1[[#This Row],[FRETE]]</f>
        <v>4146.2224999999999</v>
      </c>
      <c r="G255" s="1">
        <v>6545.27</v>
      </c>
      <c r="H255" s="1">
        <f>Tabela1[[#This Row],[PESO UND]]/1000*(1129)</f>
        <v>110.0775</v>
      </c>
      <c r="I255" s="1"/>
    </row>
    <row r="256" spans="1:9" x14ac:dyDescent="0.25">
      <c r="A256">
        <v>372</v>
      </c>
      <c r="B256" t="s">
        <v>246</v>
      </c>
      <c r="C256" t="str">
        <f t="shared" si="3"/>
        <v>185,</v>
      </c>
      <c r="D256" s="2">
        <v>1203.5</v>
      </c>
      <c r="E256" s="1">
        <v>22602.35</v>
      </c>
      <c r="F256" s="1">
        <f>Tabela1[[#This Row],[PR.CUSTO+FRETE]]-Tabela1[[#This Row],[FRETE]]</f>
        <v>21243.5985</v>
      </c>
      <c r="G256" s="1">
        <v>33534.54</v>
      </c>
      <c r="H256" s="1">
        <f>Tabela1[[#This Row],[PESO UND]]/1000*(1129)</f>
        <v>1358.7515000000001</v>
      </c>
      <c r="I256" s="1"/>
    </row>
    <row r="257" spans="1:9" x14ac:dyDescent="0.25">
      <c r="A257">
        <v>371</v>
      </c>
      <c r="B257" t="s">
        <v>247</v>
      </c>
      <c r="C257" t="str">
        <f t="shared" si="3"/>
        <v>185,</v>
      </c>
      <c r="D257" s="2">
        <v>1203.5</v>
      </c>
      <c r="E257" s="1">
        <v>21853.41</v>
      </c>
      <c r="F257" s="1">
        <f>Tabela1[[#This Row],[PR.CUSTO+FRETE]]-Tabela1[[#This Row],[FRETE]]</f>
        <v>20494.658500000001</v>
      </c>
      <c r="G257" s="1">
        <v>32352.27</v>
      </c>
      <c r="H257" s="1">
        <f>Tabela1[[#This Row],[PESO UND]]/1000*(1129)</f>
        <v>1358.7515000000001</v>
      </c>
      <c r="I257" s="1"/>
    </row>
    <row r="258" spans="1:9" x14ac:dyDescent="0.25">
      <c r="A258">
        <v>773</v>
      </c>
      <c r="B258" t="s">
        <v>941</v>
      </c>
      <c r="C258" t="str">
        <f t="shared" ref="C258:C321" si="4">IFERROR(MID(B258,FIND("(",B258)+1,4),"")</f>
        <v>288,</v>
      </c>
      <c r="D258" s="2">
        <v>1978.75</v>
      </c>
      <c r="E258" s="1">
        <v>14313.7</v>
      </c>
      <c r="F258" s="1">
        <f>Tabela1[[#This Row],[PR.CUSTO+FRETE]]-Tabela1[[#This Row],[FRETE]]</f>
        <v>12079.69125</v>
      </c>
      <c r="G258" s="1">
        <v>24847.33</v>
      </c>
      <c r="H258" s="1">
        <f>Tabela1[[#This Row],[PESO UND]]/1000*(1129)</f>
        <v>2234.00875</v>
      </c>
      <c r="I258" s="1"/>
    </row>
    <row r="259" spans="1:9" x14ac:dyDescent="0.25">
      <c r="A259">
        <v>415</v>
      </c>
      <c r="B259" t="s">
        <v>248</v>
      </c>
      <c r="C259" t="str">
        <f t="shared" si="4"/>
        <v>268,</v>
      </c>
      <c r="D259" s="2">
        <v>25738.7</v>
      </c>
      <c r="E259" s="1">
        <v>143683.98000000001</v>
      </c>
      <c r="F259" s="1">
        <f>Tabela1[[#This Row],[PR.CUSTO+FRETE]]-Tabela1[[#This Row],[FRETE]]</f>
        <v>114624.98770000001</v>
      </c>
      <c r="G259" s="1">
        <v>239023.67999999991</v>
      </c>
      <c r="H259" s="1">
        <f>Tabela1[[#This Row],[PESO UND]]/1000*(1129)</f>
        <v>29058.992300000002</v>
      </c>
      <c r="I259" s="1"/>
    </row>
    <row r="260" spans="1:9" x14ac:dyDescent="0.25">
      <c r="A260">
        <v>419</v>
      </c>
      <c r="B260" t="s">
        <v>249</v>
      </c>
      <c r="C260" t="str">
        <f t="shared" si="4"/>
        <v>268,</v>
      </c>
      <c r="D260" s="2">
        <v>183.75</v>
      </c>
      <c r="E260" s="1">
        <v>8021.48</v>
      </c>
      <c r="F260" s="1">
        <f>Tabela1[[#This Row],[PR.CUSTO+FRETE]]-Tabela1[[#This Row],[FRETE]]</f>
        <v>7814.0262499999999</v>
      </c>
      <c r="G260" s="1">
        <v>12335.31</v>
      </c>
      <c r="H260" s="1">
        <f>Tabela1[[#This Row],[PESO UND]]/1000*(1129)</f>
        <v>207.45374999999999</v>
      </c>
      <c r="I260" s="1"/>
    </row>
    <row r="261" spans="1:9" x14ac:dyDescent="0.25">
      <c r="A261">
        <v>417</v>
      </c>
      <c r="B261" t="s">
        <v>250</v>
      </c>
      <c r="C261" t="str">
        <f t="shared" si="4"/>
        <v>268,</v>
      </c>
      <c r="D261" s="2">
        <v>1671.3</v>
      </c>
      <c r="E261" s="1">
        <v>31390.23</v>
      </c>
      <c r="F261" s="1">
        <f>Tabela1[[#This Row],[PR.CUSTO+FRETE]]-Tabela1[[#This Row],[FRETE]]</f>
        <v>29503.332299999998</v>
      </c>
      <c r="G261" s="1">
        <v>46573.11</v>
      </c>
      <c r="H261" s="1">
        <f>Tabela1[[#This Row],[PESO UND]]/1000*(1129)</f>
        <v>1886.8977</v>
      </c>
      <c r="I261" s="1"/>
    </row>
    <row r="262" spans="1:9" x14ac:dyDescent="0.25">
      <c r="A262">
        <v>416</v>
      </c>
      <c r="B262" t="s">
        <v>251</v>
      </c>
      <c r="C262" t="str">
        <f t="shared" si="4"/>
        <v>268,</v>
      </c>
      <c r="D262" s="2">
        <v>1671.3</v>
      </c>
      <c r="E262" s="1">
        <v>30327.02</v>
      </c>
      <c r="F262" s="1">
        <f>Tabela1[[#This Row],[PR.CUSTO+FRETE]]-Tabela1[[#This Row],[FRETE]]</f>
        <v>28440.122299999999</v>
      </c>
      <c r="G262" s="1">
        <v>44894.76</v>
      </c>
      <c r="H262" s="1">
        <f>Tabela1[[#This Row],[PESO UND]]/1000*(1129)</f>
        <v>1886.8977</v>
      </c>
      <c r="I262" s="1"/>
    </row>
    <row r="263" spans="1:9" x14ac:dyDescent="0.25">
      <c r="A263">
        <v>1180</v>
      </c>
      <c r="B263" t="s">
        <v>252</v>
      </c>
      <c r="C263" t="str">
        <f t="shared" si="4"/>
        <v>251,</v>
      </c>
      <c r="D263" s="2">
        <v>25327.55</v>
      </c>
      <c r="E263" s="1">
        <v>139814.25000000009</v>
      </c>
      <c r="F263" s="1">
        <f>Tabela1[[#This Row],[PR.CUSTO+FRETE]]-Tabela1[[#This Row],[FRETE]]</f>
        <v>111219.44605000009</v>
      </c>
      <c r="G263" s="1">
        <v>231685.55999999991</v>
      </c>
      <c r="H263" s="1">
        <f>Tabela1[[#This Row],[PESO UND]]/1000*(1129)</f>
        <v>28594.803949999998</v>
      </c>
      <c r="I263" s="1"/>
    </row>
    <row r="264" spans="1:9" x14ac:dyDescent="0.25">
      <c r="A264">
        <v>1183</v>
      </c>
      <c r="B264" t="s">
        <v>253</v>
      </c>
      <c r="C264" t="str">
        <f t="shared" si="4"/>
        <v>251,</v>
      </c>
      <c r="D264" s="2">
        <v>172.5</v>
      </c>
      <c r="E264" s="1">
        <v>7530.37</v>
      </c>
      <c r="F264" s="1">
        <f>Tabela1[[#This Row],[PR.CUSTO+FRETE]]-Tabela1[[#This Row],[FRETE]]</f>
        <v>7335.6175000000003</v>
      </c>
      <c r="G264" s="1">
        <v>11580.09</v>
      </c>
      <c r="H264" s="1">
        <f>Tabela1[[#This Row],[PESO UND]]/1000*(1129)</f>
        <v>194.7525</v>
      </c>
      <c r="I264" s="1"/>
    </row>
    <row r="265" spans="1:9" x14ac:dyDescent="0.25">
      <c r="A265">
        <v>1182</v>
      </c>
      <c r="B265" t="s">
        <v>254</v>
      </c>
      <c r="C265" t="str">
        <f t="shared" si="4"/>
        <v>251,</v>
      </c>
      <c r="D265" s="2">
        <v>1510.9</v>
      </c>
      <c r="E265" s="1">
        <v>28380.86</v>
      </c>
      <c r="F265" s="1">
        <f>Tabela1[[#This Row],[PR.CUSTO+FRETE]]-Tabela1[[#This Row],[FRETE]]</f>
        <v>26675.053899999999</v>
      </c>
      <c r="G265" s="1">
        <v>42108.47</v>
      </c>
      <c r="H265" s="1">
        <f>Tabela1[[#This Row],[PESO UND]]/1000*(1129)</f>
        <v>1705.8061000000002</v>
      </c>
      <c r="I265" s="1"/>
    </row>
    <row r="266" spans="1:9" x14ac:dyDescent="0.25">
      <c r="A266">
        <v>1181</v>
      </c>
      <c r="B266" t="s">
        <v>255</v>
      </c>
      <c r="C266" t="str">
        <f t="shared" si="4"/>
        <v>251,</v>
      </c>
      <c r="D266" s="2">
        <v>1510.9</v>
      </c>
      <c r="E266" s="1">
        <v>27418.16</v>
      </c>
      <c r="F266" s="1">
        <f>Tabela1[[#This Row],[PR.CUSTO+FRETE]]-Tabela1[[#This Row],[FRETE]]</f>
        <v>25712.353899999998</v>
      </c>
      <c r="G266" s="1">
        <v>40588.79</v>
      </c>
      <c r="H266" s="1">
        <f>Tabela1[[#This Row],[PESO UND]]/1000*(1129)</f>
        <v>1705.8061000000002</v>
      </c>
      <c r="I266" s="1"/>
    </row>
    <row r="267" spans="1:9" x14ac:dyDescent="0.25">
      <c r="A267">
        <v>507</v>
      </c>
      <c r="B267" t="s">
        <v>256</v>
      </c>
      <c r="C267" t="str">
        <f t="shared" si="4"/>
        <v>120,</v>
      </c>
      <c r="D267" s="2">
        <v>93.6</v>
      </c>
      <c r="E267" s="1">
        <v>4517.6099999999997</v>
      </c>
      <c r="F267" s="1">
        <f>Tabela1[[#This Row],[PR.CUSTO+FRETE]]-Tabela1[[#This Row],[FRETE]]</f>
        <v>4411.9355999999998</v>
      </c>
      <c r="G267" s="1">
        <v>6964.73</v>
      </c>
      <c r="H267" s="1">
        <f>Tabela1[[#This Row],[PESO UND]]/1000*(1129)</f>
        <v>105.67439999999999</v>
      </c>
      <c r="I267" s="1"/>
    </row>
    <row r="268" spans="1:9" x14ac:dyDescent="0.25">
      <c r="A268">
        <v>504</v>
      </c>
      <c r="B268" t="s">
        <v>257</v>
      </c>
      <c r="C268" t="str">
        <f t="shared" si="4"/>
        <v>120,</v>
      </c>
      <c r="D268" s="2">
        <v>14056.25</v>
      </c>
      <c r="E268" s="1">
        <v>77478.37</v>
      </c>
      <c r="F268" s="1">
        <f>Tabela1[[#This Row],[PR.CUSTO+FRETE]]-Tabela1[[#This Row],[FRETE]]</f>
        <v>61608.863749999997</v>
      </c>
      <c r="G268" s="1">
        <v>127366.89</v>
      </c>
      <c r="H268" s="1">
        <f>Tabela1[[#This Row],[PESO UND]]/1000*(1129)</f>
        <v>15869.50625</v>
      </c>
      <c r="I268" s="1"/>
    </row>
    <row r="269" spans="1:9" x14ac:dyDescent="0.25">
      <c r="A269">
        <v>506</v>
      </c>
      <c r="B269" t="s">
        <v>258</v>
      </c>
      <c r="C269" t="str">
        <f t="shared" si="4"/>
        <v>120,</v>
      </c>
      <c r="D269" s="2">
        <v>597.9</v>
      </c>
      <c r="E269" s="1">
        <v>11275.37</v>
      </c>
      <c r="F269" s="1">
        <f>Tabela1[[#This Row],[PR.CUSTO+FRETE]]-Tabela1[[#This Row],[FRETE]]</f>
        <v>10600.340900000001</v>
      </c>
      <c r="G269" s="1">
        <v>16733.38</v>
      </c>
      <c r="H269" s="1">
        <f>Tabela1[[#This Row],[PESO UND]]/1000*(1129)</f>
        <v>675.02909999999997</v>
      </c>
      <c r="I269" s="1"/>
    </row>
    <row r="270" spans="1:9" x14ac:dyDescent="0.25">
      <c r="A270">
        <v>505</v>
      </c>
      <c r="B270" t="s">
        <v>259</v>
      </c>
      <c r="C270" t="str">
        <f t="shared" si="4"/>
        <v>120,</v>
      </c>
      <c r="D270" s="2">
        <v>597.9</v>
      </c>
      <c r="E270" s="1">
        <v>10894.86</v>
      </c>
      <c r="F270" s="1">
        <f>Tabela1[[#This Row],[PR.CUSTO+FRETE]]-Tabela1[[#This Row],[FRETE]]</f>
        <v>10219.830900000001</v>
      </c>
      <c r="G270" s="1">
        <v>16132.71</v>
      </c>
      <c r="H270" s="1">
        <f>Tabela1[[#This Row],[PESO UND]]/1000*(1129)</f>
        <v>675.02909999999997</v>
      </c>
      <c r="I270" s="1"/>
    </row>
    <row r="271" spans="1:9" x14ac:dyDescent="0.25">
      <c r="A271">
        <v>1222</v>
      </c>
      <c r="B271" t="s">
        <v>260</v>
      </c>
      <c r="C271" t="str">
        <f t="shared" si="4"/>
        <v>21,8</v>
      </c>
      <c r="D271" s="2">
        <v>3264.36</v>
      </c>
      <c r="E271" s="1">
        <v>18345.14</v>
      </c>
      <c r="F271" s="1">
        <f>Tabela1[[#This Row],[PR.CUSTO+FRETE]]-Tabela1[[#This Row],[FRETE]]</f>
        <v>14659.67756</v>
      </c>
      <c r="G271" s="1">
        <v>29901.34</v>
      </c>
      <c r="H271" s="1">
        <f>Tabela1[[#This Row],[PESO UND]]/1000*(1129)</f>
        <v>3685.4624399999998</v>
      </c>
      <c r="I271" s="1"/>
    </row>
    <row r="272" spans="1:9" x14ac:dyDescent="0.25">
      <c r="A272">
        <v>1225</v>
      </c>
      <c r="B272" t="s">
        <v>261</v>
      </c>
      <c r="C272" t="str">
        <f t="shared" si="4"/>
        <v>21,8</v>
      </c>
      <c r="D272" s="2">
        <v>25.2</v>
      </c>
      <c r="E272" s="1">
        <v>1216.28</v>
      </c>
      <c r="F272" s="1">
        <f>Tabela1[[#This Row],[PR.CUSTO+FRETE]]-Tabela1[[#This Row],[FRETE]]</f>
        <v>1187.8291999999999</v>
      </c>
      <c r="G272" s="1">
        <v>1875.12</v>
      </c>
      <c r="H272" s="1">
        <f>Tabela1[[#This Row],[PESO UND]]/1000*(1129)</f>
        <v>28.450800000000001</v>
      </c>
      <c r="I272" s="1"/>
    </row>
    <row r="273" spans="1:9" x14ac:dyDescent="0.25">
      <c r="A273">
        <v>1224</v>
      </c>
      <c r="B273" t="s">
        <v>262</v>
      </c>
      <c r="C273" t="str">
        <f t="shared" si="4"/>
        <v>21,8</v>
      </c>
      <c r="D273" s="2">
        <v>213</v>
      </c>
      <c r="E273" s="1">
        <v>4011.01</v>
      </c>
      <c r="F273" s="1">
        <f>Tabela1[[#This Row],[PR.CUSTO+FRETE]]-Tabela1[[#This Row],[FRETE]]</f>
        <v>3770.5330000000004</v>
      </c>
      <c r="G273" s="1">
        <v>5952.07</v>
      </c>
      <c r="H273" s="1">
        <f>Tabela1[[#This Row],[PESO UND]]/1000*(1129)</f>
        <v>240.477</v>
      </c>
      <c r="I273" s="1"/>
    </row>
    <row r="274" spans="1:9" x14ac:dyDescent="0.25">
      <c r="A274">
        <v>1223</v>
      </c>
      <c r="B274" t="s">
        <v>263</v>
      </c>
      <c r="C274" t="str">
        <f t="shared" si="4"/>
        <v>21,8</v>
      </c>
      <c r="D274" s="2">
        <v>213</v>
      </c>
      <c r="E274" s="1">
        <v>3875.61</v>
      </c>
      <c r="F274" s="1">
        <f>Tabela1[[#This Row],[PR.CUSTO+FRETE]]-Tabela1[[#This Row],[FRETE]]</f>
        <v>3635.1330000000003</v>
      </c>
      <c r="G274" s="1">
        <v>5738.32</v>
      </c>
      <c r="H274" s="1">
        <f>Tabela1[[#This Row],[PESO UND]]/1000*(1129)</f>
        <v>240.477</v>
      </c>
      <c r="I274" s="1"/>
    </row>
    <row r="275" spans="1:9" x14ac:dyDescent="0.25">
      <c r="A275">
        <v>1082</v>
      </c>
      <c r="B275" t="s">
        <v>264</v>
      </c>
      <c r="C275" t="str">
        <f t="shared" si="4"/>
        <v>120,</v>
      </c>
      <c r="D275" s="2">
        <v>12646.69</v>
      </c>
      <c r="E275" s="1">
        <v>68663.899999999994</v>
      </c>
      <c r="F275" s="1">
        <f>Tabela1[[#This Row],[PR.CUSTO+FRETE]]-Tabela1[[#This Row],[FRETE]]</f>
        <v>54385.786989999993</v>
      </c>
      <c r="G275" s="1">
        <v>113219.99</v>
      </c>
      <c r="H275" s="1">
        <f>Tabela1[[#This Row],[PESO UND]]/1000*(1129)</f>
        <v>14278.113010000001</v>
      </c>
      <c r="I275" s="1"/>
    </row>
    <row r="276" spans="1:9" x14ac:dyDescent="0.25">
      <c r="A276">
        <v>1085</v>
      </c>
      <c r="B276" t="s">
        <v>265</v>
      </c>
      <c r="C276" t="str">
        <f t="shared" si="4"/>
        <v>120,</v>
      </c>
      <c r="D276" s="2">
        <v>82.5</v>
      </c>
      <c r="E276" s="1">
        <v>3601.48</v>
      </c>
      <c r="F276" s="1">
        <f>Tabela1[[#This Row],[PR.CUSTO+FRETE]]-Tabela1[[#This Row],[FRETE]]</f>
        <v>3508.3375000000001</v>
      </c>
      <c r="G276" s="1">
        <v>5538.3</v>
      </c>
      <c r="H276" s="1">
        <f>Tabela1[[#This Row],[PESO UND]]/1000*(1129)</f>
        <v>93.142499999999998</v>
      </c>
      <c r="I276" s="1"/>
    </row>
    <row r="277" spans="1:9" x14ac:dyDescent="0.25">
      <c r="A277">
        <v>1084</v>
      </c>
      <c r="B277" t="s">
        <v>266</v>
      </c>
      <c r="C277" t="str">
        <f t="shared" si="4"/>
        <v>120,</v>
      </c>
      <c r="D277" s="2">
        <v>1024.3</v>
      </c>
      <c r="E277" s="1">
        <v>19227.78</v>
      </c>
      <c r="F277" s="1">
        <f>Tabela1[[#This Row],[PR.CUSTO+FRETE]]-Tabela1[[#This Row],[FRETE]]</f>
        <v>18071.345299999997</v>
      </c>
      <c r="G277" s="1">
        <v>28526.89</v>
      </c>
      <c r="H277" s="1">
        <f>Tabela1[[#This Row],[PESO UND]]/1000*(1129)</f>
        <v>1156.4347</v>
      </c>
      <c r="I277" s="1"/>
    </row>
    <row r="278" spans="1:9" x14ac:dyDescent="0.25">
      <c r="A278">
        <v>1083</v>
      </c>
      <c r="B278" t="s">
        <v>267</v>
      </c>
      <c r="C278" t="str">
        <f t="shared" si="4"/>
        <v>120,</v>
      </c>
      <c r="D278" s="2">
        <v>1024.3</v>
      </c>
      <c r="E278" s="1">
        <v>18568.5</v>
      </c>
      <c r="F278" s="1">
        <f>Tabela1[[#This Row],[PR.CUSTO+FRETE]]-Tabela1[[#This Row],[FRETE]]</f>
        <v>17412.065299999998</v>
      </c>
      <c r="G278" s="1">
        <v>27486.16</v>
      </c>
      <c r="H278" s="1">
        <f>Tabela1[[#This Row],[PESO UND]]/1000*(1129)</f>
        <v>1156.4347</v>
      </c>
      <c r="I278" s="1"/>
    </row>
    <row r="279" spans="1:9" x14ac:dyDescent="0.25">
      <c r="A279">
        <v>712</v>
      </c>
      <c r="B279" t="s">
        <v>268</v>
      </c>
      <c r="C279" t="str">
        <f t="shared" si="4"/>
        <v>179,</v>
      </c>
      <c r="D279" s="2">
        <v>17858.740000000002</v>
      </c>
      <c r="E279" s="1">
        <v>99739.479999999894</v>
      </c>
      <c r="F279" s="1">
        <f>Tabela1[[#This Row],[PR.CUSTO+FRETE]]-Tabela1[[#This Row],[FRETE]]</f>
        <v>79576.962539999891</v>
      </c>
      <c r="G279" s="1">
        <v>164660.1399999999</v>
      </c>
      <c r="H279" s="1">
        <f>Tabela1[[#This Row],[PESO UND]]/1000*(1129)</f>
        <v>20162.517460000003</v>
      </c>
      <c r="I279" s="1"/>
    </row>
    <row r="280" spans="1:9" x14ac:dyDescent="0.25">
      <c r="A280">
        <v>710</v>
      </c>
      <c r="B280" t="s">
        <v>269</v>
      </c>
      <c r="C280" t="str">
        <f t="shared" si="4"/>
        <v>179,</v>
      </c>
      <c r="D280" s="2">
        <v>544.6</v>
      </c>
      <c r="E280" s="1">
        <v>4016.84</v>
      </c>
      <c r="F280" s="1">
        <f>Tabela1[[#This Row],[PR.CUSTO+FRETE]]-Tabela1[[#This Row],[FRETE]]</f>
        <v>3401.9866000000002</v>
      </c>
      <c r="G280" s="1">
        <v>6953.66</v>
      </c>
      <c r="H280" s="1">
        <f>Tabela1[[#This Row],[PESO UND]]/1000*(1129)</f>
        <v>614.85339999999997</v>
      </c>
      <c r="I280" s="1"/>
    </row>
    <row r="281" spans="1:9" x14ac:dyDescent="0.25">
      <c r="A281">
        <v>521</v>
      </c>
      <c r="B281" t="s">
        <v>270</v>
      </c>
      <c r="C281" t="str">
        <f t="shared" si="4"/>
        <v>179,</v>
      </c>
      <c r="D281" s="2">
        <v>2662</v>
      </c>
      <c r="E281" s="1">
        <v>13802.96</v>
      </c>
      <c r="F281" s="1">
        <f>Tabela1[[#This Row],[PR.CUSTO+FRETE]]-Tabela1[[#This Row],[FRETE]]</f>
        <v>10797.561999999998</v>
      </c>
      <c r="G281" s="1">
        <v>23103.91</v>
      </c>
      <c r="H281" s="1">
        <f>Tabela1[[#This Row],[PESO UND]]/1000*(1129)</f>
        <v>3005.3980000000001</v>
      </c>
      <c r="I281" s="1"/>
    </row>
    <row r="282" spans="1:9" x14ac:dyDescent="0.25">
      <c r="A282">
        <v>520</v>
      </c>
      <c r="B282" t="s">
        <v>271</v>
      </c>
      <c r="C282" t="str">
        <f t="shared" si="4"/>
        <v>179,</v>
      </c>
      <c r="D282" s="2">
        <v>116.25</v>
      </c>
      <c r="E282" s="1">
        <v>5074.82</v>
      </c>
      <c r="F282" s="1">
        <f>Tabela1[[#This Row],[PR.CUSTO+FRETE]]-Tabela1[[#This Row],[FRETE]]</f>
        <v>4943.5737499999996</v>
      </c>
      <c r="G282" s="1">
        <v>7803.97</v>
      </c>
      <c r="H282" s="1">
        <f>Tabela1[[#This Row],[PESO UND]]/1000*(1129)</f>
        <v>131.24625</v>
      </c>
      <c r="I282" s="1"/>
    </row>
    <row r="283" spans="1:9" x14ac:dyDescent="0.25">
      <c r="A283">
        <v>519</v>
      </c>
      <c r="B283" t="s">
        <v>272</v>
      </c>
      <c r="C283" t="str">
        <f t="shared" si="4"/>
        <v>179,</v>
      </c>
      <c r="D283" s="2">
        <v>1123.0999999999999</v>
      </c>
      <c r="E283" s="1">
        <v>21233.93</v>
      </c>
      <c r="F283" s="1">
        <f>Tabela1[[#This Row],[PR.CUSTO+FRETE]]-Tabela1[[#This Row],[FRETE]]</f>
        <v>19965.950100000002</v>
      </c>
      <c r="G283" s="1">
        <v>31517.7</v>
      </c>
      <c r="H283" s="1">
        <f>Tabela1[[#This Row],[PESO UND]]/1000*(1129)</f>
        <v>1267.9799</v>
      </c>
      <c r="I283" s="1"/>
    </row>
    <row r="284" spans="1:9" x14ac:dyDescent="0.25">
      <c r="A284">
        <v>518</v>
      </c>
      <c r="B284" t="s">
        <v>273</v>
      </c>
      <c r="C284" t="str">
        <f t="shared" si="4"/>
        <v>179,</v>
      </c>
      <c r="D284" s="2">
        <v>1123.0999999999999</v>
      </c>
      <c r="E284" s="1">
        <v>20531.95</v>
      </c>
      <c r="F284" s="1">
        <f>Tabela1[[#This Row],[PR.CUSTO+FRETE]]-Tabela1[[#This Row],[FRETE]]</f>
        <v>19263.970100000002</v>
      </c>
      <c r="G284" s="1">
        <v>30409.56</v>
      </c>
      <c r="H284" s="1">
        <f>Tabela1[[#This Row],[PESO UND]]/1000*(1129)</f>
        <v>1267.9799</v>
      </c>
      <c r="I284" s="1"/>
    </row>
    <row r="285" spans="1:9" x14ac:dyDescent="0.25">
      <c r="A285">
        <v>1203</v>
      </c>
      <c r="B285" t="s">
        <v>274</v>
      </c>
      <c r="C285" t="str">
        <f t="shared" si="4"/>
        <v>174,</v>
      </c>
      <c r="D285" s="2">
        <v>19896.740000000002</v>
      </c>
      <c r="E285" s="1">
        <v>107244.24</v>
      </c>
      <c r="F285" s="1">
        <f>Tabela1[[#This Row],[PR.CUSTO+FRETE]]-Tabela1[[#This Row],[FRETE]]</f>
        <v>84780.820540000001</v>
      </c>
      <c r="G285" s="1">
        <v>175916.1999999999</v>
      </c>
      <c r="H285" s="1">
        <f>Tabela1[[#This Row],[PESO UND]]/1000*(1129)</f>
        <v>22463.419460000001</v>
      </c>
      <c r="I285" s="1"/>
    </row>
    <row r="286" spans="1:9" x14ac:dyDescent="0.25">
      <c r="A286">
        <v>1276</v>
      </c>
      <c r="B286" t="s">
        <v>275</v>
      </c>
      <c r="C286" t="str">
        <f t="shared" si="4"/>
        <v>174,</v>
      </c>
      <c r="D286" s="2">
        <v>129.6</v>
      </c>
      <c r="E286" s="1">
        <v>6255.16</v>
      </c>
      <c r="F286" s="1">
        <f>Tabela1[[#This Row],[PR.CUSTO+FRETE]]-Tabela1[[#This Row],[FRETE]]</f>
        <v>6108.8415999999997</v>
      </c>
      <c r="G286" s="1">
        <v>9643.4699999999993</v>
      </c>
      <c r="H286" s="1">
        <f>Tabela1[[#This Row],[PESO UND]]/1000*(1129)</f>
        <v>146.3184</v>
      </c>
      <c r="I286" s="1"/>
    </row>
    <row r="287" spans="1:9" x14ac:dyDescent="0.25">
      <c r="A287">
        <v>1275</v>
      </c>
      <c r="B287" t="s">
        <v>276</v>
      </c>
      <c r="C287" t="str">
        <f t="shared" si="4"/>
        <v>174,</v>
      </c>
      <c r="D287" s="2">
        <v>90</v>
      </c>
      <c r="E287" s="1">
        <v>15257.89</v>
      </c>
      <c r="F287" s="1">
        <f>Tabela1[[#This Row],[PR.CUSTO+FRETE]]-Tabela1[[#This Row],[FRETE]]</f>
        <v>15156.279999999999</v>
      </c>
      <c r="G287" s="1">
        <v>23925.26</v>
      </c>
      <c r="H287" s="1">
        <f>Tabela1[[#This Row],[PESO UND]]/1000*(1129)</f>
        <v>101.61</v>
      </c>
      <c r="I287" s="1"/>
    </row>
    <row r="288" spans="1:9" x14ac:dyDescent="0.25">
      <c r="A288">
        <v>1274</v>
      </c>
      <c r="B288" t="s">
        <v>277</v>
      </c>
      <c r="C288" t="str">
        <f t="shared" si="4"/>
        <v>174,</v>
      </c>
      <c r="D288" s="2">
        <v>1068.3</v>
      </c>
      <c r="E288" s="1">
        <v>20072.5</v>
      </c>
      <c r="F288" s="1">
        <f>Tabela1[[#This Row],[PR.CUSTO+FRETE]]-Tabela1[[#This Row],[FRETE]]</f>
        <v>18866.389299999999</v>
      </c>
      <c r="G288" s="1">
        <v>29781.94</v>
      </c>
      <c r="H288" s="1">
        <f>Tabela1[[#This Row],[PESO UND]]/1000*(1129)</f>
        <v>1206.1107</v>
      </c>
      <c r="I288" s="1"/>
    </row>
    <row r="289" spans="1:9" x14ac:dyDescent="0.25">
      <c r="A289">
        <v>1273</v>
      </c>
      <c r="B289" t="s">
        <v>278</v>
      </c>
      <c r="C289" t="str">
        <f t="shared" si="4"/>
        <v>174,</v>
      </c>
      <c r="D289" s="2">
        <v>1068.3</v>
      </c>
      <c r="E289" s="1">
        <v>19382.62</v>
      </c>
      <c r="F289" s="1">
        <f>Tabela1[[#This Row],[PR.CUSTO+FRETE]]-Tabela1[[#This Row],[FRETE]]</f>
        <v>18176.509299999998</v>
      </c>
      <c r="G289" s="1">
        <v>28692.89</v>
      </c>
      <c r="H289" s="1">
        <f>Tabela1[[#This Row],[PESO UND]]/1000*(1129)</f>
        <v>1206.1107</v>
      </c>
      <c r="I289" s="1"/>
    </row>
    <row r="290" spans="1:9" x14ac:dyDescent="0.25">
      <c r="A290">
        <v>953</v>
      </c>
      <c r="B290" t="s">
        <v>942</v>
      </c>
      <c r="C290" t="str">
        <f t="shared" si="4"/>
        <v>30,5</v>
      </c>
      <c r="D290" s="2">
        <v>4689.0600000000004</v>
      </c>
      <c r="E290" s="1">
        <v>26469.02</v>
      </c>
      <c r="F290" s="1">
        <f>Tabela1[[#This Row],[PR.CUSTO+FRETE]]-Tabela1[[#This Row],[FRETE]]</f>
        <v>21175.071260000001</v>
      </c>
      <c r="G290" s="1">
        <v>43440.56</v>
      </c>
      <c r="H290" s="1">
        <f>Tabela1[[#This Row],[PESO UND]]/1000*(1129)</f>
        <v>5293.9487400000007</v>
      </c>
      <c r="I290" s="1"/>
    </row>
    <row r="291" spans="1:9" x14ac:dyDescent="0.25">
      <c r="A291">
        <v>140</v>
      </c>
      <c r="B291" t="s">
        <v>279</v>
      </c>
      <c r="C291" t="str">
        <f t="shared" si="4"/>
        <v/>
      </c>
      <c r="D291" s="2">
        <v>655.35</v>
      </c>
      <c r="E291" s="1">
        <v>4039.31</v>
      </c>
      <c r="F291" s="1">
        <f>Tabela1[[#This Row],[PR.CUSTO+FRETE]]-Tabela1[[#This Row],[FRETE]]</f>
        <v>3299.4198500000002</v>
      </c>
      <c r="G291" s="1">
        <v>7139.67</v>
      </c>
      <c r="H291" s="1">
        <f>Tabela1[[#This Row],[PESO UND]]/1000*(1129)</f>
        <v>739.89014999999995</v>
      </c>
      <c r="I291" s="1"/>
    </row>
    <row r="292" spans="1:9" x14ac:dyDescent="0.25">
      <c r="A292">
        <v>139</v>
      </c>
      <c r="B292" t="s">
        <v>280</v>
      </c>
      <c r="C292" t="str">
        <f t="shared" si="4"/>
        <v/>
      </c>
      <c r="D292" s="2">
        <v>60</v>
      </c>
      <c r="E292" s="1">
        <v>2619.2600000000002</v>
      </c>
      <c r="F292" s="1">
        <f>Tabela1[[#This Row],[PR.CUSTO+FRETE]]-Tabela1[[#This Row],[FRETE]]</f>
        <v>2551.5200000000004</v>
      </c>
      <c r="G292" s="1">
        <v>4027.86</v>
      </c>
      <c r="H292" s="1">
        <f>Tabela1[[#This Row],[PESO UND]]/1000*(1129)</f>
        <v>67.739999999999995</v>
      </c>
      <c r="I292" s="1"/>
    </row>
    <row r="293" spans="1:9" x14ac:dyDescent="0.25">
      <c r="A293">
        <v>138</v>
      </c>
      <c r="B293" t="s">
        <v>281</v>
      </c>
      <c r="C293" t="str">
        <f t="shared" si="4"/>
        <v/>
      </c>
      <c r="D293" s="2">
        <v>295.7</v>
      </c>
      <c r="E293" s="1">
        <v>5605.14</v>
      </c>
      <c r="F293" s="1">
        <f>Tabela1[[#This Row],[PR.CUSTO+FRETE]]-Tabela1[[#This Row],[FRETE]]</f>
        <v>5271.2947000000004</v>
      </c>
      <c r="G293" s="1">
        <v>8321.1200000000008</v>
      </c>
      <c r="H293" s="1">
        <f>Tabela1[[#This Row],[PESO UND]]/1000*(1129)</f>
        <v>333.84529999999995</v>
      </c>
      <c r="I293" s="1"/>
    </row>
    <row r="294" spans="1:9" x14ac:dyDescent="0.25">
      <c r="A294">
        <v>137</v>
      </c>
      <c r="B294" t="s">
        <v>282</v>
      </c>
      <c r="C294" t="str">
        <f t="shared" si="4"/>
        <v/>
      </c>
      <c r="D294" s="2">
        <v>295.7</v>
      </c>
      <c r="E294" s="1">
        <v>5416.03</v>
      </c>
      <c r="F294" s="1">
        <f>Tabela1[[#This Row],[PR.CUSTO+FRETE]]-Tabela1[[#This Row],[FRETE]]</f>
        <v>5082.1846999999998</v>
      </c>
      <c r="G294" s="1">
        <v>8022.59</v>
      </c>
      <c r="H294" s="1">
        <f>Tabela1[[#This Row],[PESO UND]]/1000*(1129)</f>
        <v>333.84529999999995</v>
      </c>
      <c r="I294" s="1"/>
    </row>
    <row r="295" spans="1:9" x14ac:dyDescent="0.25">
      <c r="A295">
        <v>295</v>
      </c>
      <c r="B295" t="s">
        <v>283</v>
      </c>
      <c r="C295" t="str">
        <f t="shared" si="4"/>
        <v>63,7</v>
      </c>
      <c r="D295" s="2">
        <v>9312.25</v>
      </c>
      <c r="E295" s="1">
        <v>53213.48</v>
      </c>
      <c r="F295" s="1">
        <f>Tabela1[[#This Row],[PR.CUSTO+FRETE]]-Tabela1[[#This Row],[FRETE]]</f>
        <v>42699.94975</v>
      </c>
      <c r="G295" s="1">
        <v>88197.74</v>
      </c>
      <c r="H295" s="1">
        <f>Tabela1[[#This Row],[PESO UND]]/1000*(1129)</f>
        <v>10513.53025</v>
      </c>
      <c r="I295" s="1"/>
    </row>
    <row r="296" spans="1:9" x14ac:dyDescent="0.25">
      <c r="A296">
        <v>553</v>
      </c>
      <c r="B296" t="s">
        <v>284</v>
      </c>
      <c r="C296" t="str">
        <f t="shared" si="4"/>
        <v>63,7</v>
      </c>
      <c r="D296" s="2">
        <v>71.25</v>
      </c>
      <c r="E296" s="1">
        <v>3110.37</v>
      </c>
      <c r="F296" s="1">
        <f>Tabela1[[#This Row],[PR.CUSTO+FRETE]]-Tabela1[[#This Row],[FRETE]]</f>
        <v>3029.92875</v>
      </c>
      <c r="G296" s="1">
        <v>4783.08</v>
      </c>
      <c r="H296" s="1">
        <f>Tabela1[[#This Row],[PESO UND]]/1000*(1129)</f>
        <v>80.441249999999997</v>
      </c>
      <c r="I296" s="1"/>
    </row>
    <row r="297" spans="1:9" x14ac:dyDescent="0.25">
      <c r="A297">
        <v>552</v>
      </c>
      <c r="B297" t="s">
        <v>285</v>
      </c>
      <c r="C297" t="str">
        <f t="shared" si="4"/>
        <v>63,7</v>
      </c>
      <c r="D297" s="2">
        <v>519.20000000000005</v>
      </c>
      <c r="E297" s="1">
        <v>9772.59</v>
      </c>
      <c r="F297" s="1">
        <f>Tabela1[[#This Row],[PR.CUSTO+FRETE]]-Tabela1[[#This Row],[FRETE]]</f>
        <v>9186.4132000000009</v>
      </c>
      <c r="G297" s="1">
        <v>14501.4</v>
      </c>
      <c r="H297" s="1">
        <f>Tabela1[[#This Row],[PESO UND]]/1000*(1129)</f>
        <v>586.17679999999996</v>
      </c>
      <c r="I297" s="1"/>
    </row>
    <row r="298" spans="1:9" x14ac:dyDescent="0.25">
      <c r="A298">
        <v>551</v>
      </c>
      <c r="B298" t="s">
        <v>286</v>
      </c>
      <c r="C298" t="str">
        <f t="shared" si="4"/>
        <v>63,7</v>
      </c>
      <c r="D298" s="2">
        <v>519.20000000000005</v>
      </c>
      <c r="E298" s="1">
        <v>9441.17</v>
      </c>
      <c r="F298" s="1">
        <f>Tabela1[[#This Row],[PR.CUSTO+FRETE]]-Tabela1[[#This Row],[FRETE]]</f>
        <v>8854.9932000000008</v>
      </c>
      <c r="G298" s="1">
        <v>13978.25</v>
      </c>
      <c r="H298" s="1">
        <f>Tabela1[[#This Row],[PESO UND]]/1000*(1129)</f>
        <v>586.17679999999996</v>
      </c>
      <c r="I298" s="1"/>
    </row>
    <row r="299" spans="1:9" x14ac:dyDescent="0.25">
      <c r="A299">
        <v>1051</v>
      </c>
      <c r="B299" t="s">
        <v>287</v>
      </c>
      <c r="C299" t="str">
        <f t="shared" si="4"/>
        <v>167,</v>
      </c>
      <c r="D299" s="2">
        <v>198.8</v>
      </c>
      <c r="E299" s="1">
        <v>1324.32</v>
      </c>
      <c r="F299" s="1">
        <f>Tabela1[[#This Row],[PR.CUSTO+FRETE]]-Tabela1[[#This Row],[FRETE]]</f>
        <v>1099.8748000000001</v>
      </c>
      <c r="G299" s="1">
        <v>2322.7600000000002</v>
      </c>
      <c r="H299" s="1">
        <f>Tabela1[[#This Row],[PESO UND]]/1000*(1129)</f>
        <v>224.4452</v>
      </c>
      <c r="I299" s="1"/>
    </row>
    <row r="300" spans="1:9" x14ac:dyDescent="0.25">
      <c r="A300">
        <v>1047</v>
      </c>
      <c r="B300" t="s">
        <v>288</v>
      </c>
      <c r="C300" t="str">
        <f t="shared" si="4"/>
        <v>167,</v>
      </c>
      <c r="D300" s="2">
        <v>18234.96</v>
      </c>
      <c r="E300" s="1">
        <v>100092.93</v>
      </c>
      <c r="F300" s="1">
        <f>Tabela1[[#This Row],[PR.CUSTO+FRETE]]-Tabela1[[#This Row],[FRETE]]</f>
        <v>79505.660159999999</v>
      </c>
      <c r="G300" s="1">
        <v>165067.32</v>
      </c>
      <c r="H300" s="1">
        <f>Tabela1[[#This Row],[PESO UND]]/1000*(1129)</f>
        <v>20587.269839999997</v>
      </c>
      <c r="I300" s="1"/>
    </row>
    <row r="301" spans="1:9" x14ac:dyDescent="0.25">
      <c r="A301">
        <v>148</v>
      </c>
      <c r="B301" t="s">
        <v>289</v>
      </c>
      <c r="C301" t="str">
        <f t="shared" si="4"/>
        <v>167,</v>
      </c>
      <c r="D301" s="2">
        <v>108.75</v>
      </c>
      <c r="E301" s="1">
        <v>4747.41</v>
      </c>
      <c r="F301" s="1">
        <f>Tabela1[[#This Row],[PR.CUSTO+FRETE]]-Tabela1[[#This Row],[FRETE]]</f>
        <v>4624.6312499999995</v>
      </c>
      <c r="G301" s="1">
        <v>7300.49</v>
      </c>
      <c r="H301" s="1">
        <f>Tabela1[[#This Row],[PESO UND]]/1000*(1129)</f>
        <v>122.77875</v>
      </c>
      <c r="I301" s="1"/>
    </row>
    <row r="302" spans="1:9" x14ac:dyDescent="0.25">
      <c r="A302">
        <v>1049</v>
      </c>
      <c r="B302" t="s">
        <v>290</v>
      </c>
      <c r="C302" t="str">
        <f t="shared" si="4"/>
        <v>167,</v>
      </c>
      <c r="D302" s="2">
        <v>1012.1</v>
      </c>
      <c r="E302" s="1">
        <v>19055.009999999998</v>
      </c>
      <c r="F302" s="1">
        <f>Tabela1[[#This Row],[PR.CUSTO+FRETE]]-Tabela1[[#This Row],[FRETE]]</f>
        <v>17912.349099999999</v>
      </c>
      <c r="G302" s="1">
        <v>28275.91</v>
      </c>
      <c r="H302" s="1">
        <f>Tabela1[[#This Row],[PESO UND]]/1000*(1129)</f>
        <v>1142.6609000000001</v>
      </c>
      <c r="I302" s="1"/>
    </row>
    <row r="303" spans="1:9" x14ac:dyDescent="0.25">
      <c r="A303">
        <v>1048</v>
      </c>
      <c r="B303" t="s">
        <v>291</v>
      </c>
      <c r="C303" t="str">
        <f t="shared" si="4"/>
        <v>167,</v>
      </c>
      <c r="D303" s="2">
        <v>1012.1</v>
      </c>
      <c r="E303" s="1">
        <v>18407.349999999999</v>
      </c>
      <c r="F303" s="1">
        <f>Tabela1[[#This Row],[PR.CUSTO+FRETE]]-Tabela1[[#This Row],[FRETE]]</f>
        <v>17264.6891</v>
      </c>
      <c r="G303" s="1">
        <v>27253.52</v>
      </c>
      <c r="H303" s="1">
        <f>Tabela1[[#This Row],[PESO UND]]/1000*(1129)</f>
        <v>1142.6609000000001</v>
      </c>
      <c r="I303" s="1"/>
    </row>
    <row r="304" spans="1:9" x14ac:dyDescent="0.25">
      <c r="A304">
        <v>1226</v>
      </c>
      <c r="B304" t="s">
        <v>292</v>
      </c>
      <c r="C304" t="str">
        <f t="shared" si="4"/>
        <v>237,</v>
      </c>
      <c r="D304" s="2">
        <v>19972.689999999999</v>
      </c>
      <c r="E304" s="1">
        <v>116834.14</v>
      </c>
      <c r="F304" s="1">
        <f>Tabela1[[#This Row],[PR.CUSTO+FRETE]]-Tabela1[[#This Row],[FRETE]]</f>
        <v>94284.972989999995</v>
      </c>
      <c r="G304" s="1">
        <v>194139.16</v>
      </c>
      <c r="H304" s="1">
        <f>Tabela1[[#This Row],[PESO UND]]/1000*(1129)</f>
        <v>22549.167010000001</v>
      </c>
      <c r="I304" s="1"/>
    </row>
    <row r="305" spans="1:9" x14ac:dyDescent="0.25">
      <c r="A305">
        <v>1229</v>
      </c>
      <c r="B305" t="s">
        <v>293</v>
      </c>
      <c r="C305" t="str">
        <f t="shared" si="4"/>
        <v>237,</v>
      </c>
      <c r="D305" s="2">
        <v>118.8</v>
      </c>
      <c r="E305" s="1">
        <v>5733.9</v>
      </c>
      <c r="F305" s="1">
        <f>Tabela1[[#This Row],[PR.CUSTO+FRETE]]-Tabela1[[#This Row],[FRETE]]</f>
        <v>5599.7747999999992</v>
      </c>
      <c r="G305" s="1">
        <v>8839.85</v>
      </c>
      <c r="H305" s="1">
        <f>Tabela1[[#This Row],[PESO UND]]/1000*(1129)</f>
        <v>134.12520000000001</v>
      </c>
      <c r="I305" s="1"/>
    </row>
    <row r="306" spans="1:9" x14ac:dyDescent="0.25">
      <c r="A306">
        <v>1228</v>
      </c>
      <c r="B306" t="s">
        <v>294</v>
      </c>
      <c r="C306" t="str">
        <f t="shared" si="4"/>
        <v>237,</v>
      </c>
      <c r="D306" s="2">
        <v>949.2</v>
      </c>
      <c r="E306" s="1">
        <v>17885.96</v>
      </c>
      <c r="F306" s="1">
        <f>Tabela1[[#This Row],[PR.CUSTO+FRETE]]-Tabela1[[#This Row],[FRETE]]</f>
        <v>16814.313200000001</v>
      </c>
      <c r="G306" s="1">
        <v>26542.58</v>
      </c>
      <c r="H306" s="1">
        <f>Tabela1[[#This Row],[PESO UND]]/1000*(1129)</f>
        <v>1071.6468</v>
      </c>
      <c r="I306" s="1"/>
    </row>
    <row r="307" spans="1:9" x14ac:dyDescent="0.25">
      <c r="A307">
        <v>1227</v>
      </c>
      <c r="B307" t="s">
        <v>295</v>
      </c>
      <c r="C307" t="str">
        <f t="shared" si="4"/>
        <v>237,</v>
      </c>
      <c r="D307" s="2">
        <v>949.2</v>
      </c>
      <c r="E307" s="1">
        <v>17279.14</v>
      </c>
      <c r="F307" s="1">
        <f>Tabela1[[#This Row],[PR.CUSTO+FRETE]]-Tabela1[[#This Row],[FRETE]]</f>
        <v>16207.493199999999</v>
      </c>
      <c r="G307" s="1">
        <v>25584.68</v>
      </c>
      <c r="H307" s="1">
        <f>Tabela1[[#This Row],[PESO UND]]/1000*(1129)</f>
        <v>1071.6468</v>
      </c>
      <c r="I307" s="1"/>
    </row>
    <row r="308" spans="1:9" x14ac:dyDescent="0.25">
      <c r="A308">
        <v>253</v>
      </c>
      <c r="B308" t="s">
        <v>296</v>
      </c>
      <c r="C308" t="str">
        <f t="shared" si="4"/>
        <v>106,</v>
      </c>
      <c r="D308" s="2">
        <v>12352.21</v>
      </c>
      <c r="E308" s="1">
        <v>67635.66</v>
      </c>
      <c r="F308" s="1">
        <f>Tabela1[[#This Row],[PR.CUSTO+FRETE]]-Tabela1[[#This Row],[FRETE]]</f>
        <v>53690.014910000005</v>
      </c>
      <c r="G308" s="1">
        <v>110908.42</v>
      </c>
      <c r="H308" s="1">
        <f>Tabela1[[#This Row],[PESO UND]]/1000*(1129)</f>
        <v>13945.64509</v>
      </c>
      <c r="I308" s="1"/>
    </row>
    <row r="309" spans="1:9" x14ac:dyDescent="0.25">
      <c r="A309">
        <v>256</v>
      </c>
      <c r="B309" t="s">
        <v>297</v>
      </c>
      <c r="C309" t="str">
        <f t="shared" si="4"/>
        <v>106,</v>
      </c>
      <c r="D309" s="2">
        <v>78.75</v>
      </c>
      <c r="E309" s="1">
        <v>3437.78</v>
      </c>
      <c r="F309" s="1">
        <f>Tabela1[[#This Row],[PR.CUSTO+FRETE]]-Tabela1[[#This Row],[FRETE]]</f>
        <v>3348.8712500000001</v>
      </c>
      <c r="G309" s="1">
        <v>5286.56</v>
      </c>
      <c r="H309" s="1">
        <f>Tabela1[[#This Row],[PESO UND]]/1000*(1129)</f>
        <v>88.908749999999998</v>
      </c>
      <c r="I309" s="1"/>
    </row>
    <row r="310" spans="1:9" x14ac:dyDescent="0.25">
      <c r="A310">
        <v>257</v>
      </c>
      <c r="B310" t="s">
        <v>298</v>
      </c>
      <c r="C310" t="str">
        <f t="shared" si="4"/>
        <v>106,</v>
      </c>
      <c r="D310" s="2">
        <v>57.5</v>
      </c>
      <c r="E310" s="1">
        <v>7615.34</v>
      </c>
      <c r="F310" s="1">
        <f>Tabela1[[#This Row],[PR.CUSTO+FRETE]]-Tabela1[[#This Row],[FRETE]]</f>
        <v>7550.4225000000006</v>
      </c>
      <c r="G310" s="1">
        <v>11918.89</v>
      </c>
      <c r="H310" s="1">
        <f>Tabela1[[#This Row],[PESO UND]]/1000*(1129)</f>
        <v>64.917500000000004</v>
      </c>
      <c r="I310" s="1"/>
    </row>
    <row r="311" spans="1:9" x14ac:dyDescent="0.25">
      <c r="A311">
        <v>255</v>
      </c>
      <c r="B311" t="s">
        <v>299</v>
      </c>
      <c r="C311" t="str">
        <f t="shared" si="4"/>
        <v>106,</v>
      </c>
      <c r="D311" s="2">
        <v>526.9</v>
      </c>
      <c r="E311" s="1">
        <v>9936.85</v>
      </c>
      <c r="F311" s="1">
        <f>Tabela1[[#This Row],[PR.CUSTO+FRETE]]-Tabela1[[#This Row],[FRETE]]</f>
        <v>9341.9799000000003</v>
      </c>
      <c r="G311" s="1">
        <v>14746.97</v>
      </c>
      <c r="H311" s="1">
        <f>Tabela1[[#This Row],[PESO UND]]/1000*(1129)</f>
        <v>594.87009999999987</v>
      </c>
      <c r="I311" s="1"/>
    </row>
    <row r="312" spans="1:9" x14ac:dyDescent="0.25">
      <c r="A312">
        <v>254</v>
      </c>
      <c r="B312" t="s">
        <v>300</v>
      </c>
      <c r="C312" t="str">
        <f t="shared" si="4"/>
        <v>106,</v>
      </c>
      <c r="D312" s="2">
        <v>526.9</v>
      </c>
      <c r="E312" s="1">
        <v>9606.06</v>
      </c>
      <c r="F312" s="1">
        <f>Tabela1[[#This Row],[PR.CUSTO+FRETE]]-Tabela1[[#This Row],[FRETE]]</f>
        <v>9011.1898999999994</v>
      </c>
      <c r="G312" s="1">
        <v>14224.8</v>
      </c>
      <c r="H312" s="1">
        <f>Tabela1[[#This Row],[PESO UND]]/1000*(1129)</f>
        <v>594.87009999999987</v>
      </c>
      <c r="I312" s="1"/>
    </row>
    <row r="313" spans="1:9" x14ac:dyDescent="0.25">
      <c r="A313">
        <v>587</v>
      </c>
      <c r="B313" t="s">
        <v>301</v>
      </c>
      <c r="C313" t="str">
        <f t="shared" si="4"/>
        <v>79M²</v>
      </c>
      <c r="D313" s="2">
        <v>4808.03</v>
      </c>
      <c r="E313" s="1">
        <v>27349.03</v>
      </c>
      <c r="F313" s="1">
        <f>Tabela1[[#This Row],[PR.CUSTO+FRETE]]-Tabela1[[#This Row],[FRETE]]</f>
        <v>21920.76413</v>
      </c>
      <c r="G313" s="1">
        <v>45421.43</v>
      </c>
      <c r="H313" s="1">
        <f>Tabela1[[#This Row],[PESO UND]]/1000*(1129)</f>
        <v>5428.2658699999993</v>
      </c>
      <c r="I313" s="1"/>
    </row>
    <row r="314" spans="1:9" x14ac:dyDescent="0.25">
      <c r="A314">
        <v>499</v>
      </c>
      <c r="B314" t="s">
        <v>302</v>
      </c>
      <c r="C314" t="str">
        <f t="shared" si="4"/>
        <v>129,</v>
      </c>
      <c r="D314" s="2">
        <v>11360.83</v>
      </c>
      <c r="E314" s="1">
        <v>59735.83</v>
      </c>
      <c r="F314" s="1">
        <f>Tabela1[[#This Row],[PR.CUSTO+FRETE]]-Tabela1[[#This Row],[FRETE]]</f>
        <v>46909.452929999999</v>
      </c>
      <c r="G314" s="1">
        <v>96538.32</v>
      </c>
      <c r="H314" s="1">
        <f>Tabela1[[#This Row],[PESO UND]]/1000*(1129)</f>
        <v>12826.37707</v>
      </c>
      <c r="I314" s="1"/>
    </row>
    <row r="315" spans="1:9" x14ac:dyDescent="0.25">
      <c r="A315">
        <v>503</v>
      </c>
      <c r="B315" t="s">
        <v>303</v>
      </c>
      <c r="C315" t="str">
        <f t="shared" si="4"/>
        <v>129,</v>
      </c>
      <c r="D315" s="2">
        <v>2258</v>
      </c>
      <c r="E315" s="1">
        <v>11768.46</v>
      </c>
      <c r="F315" s="1">
        <f>Tabela1[[#This Row],[PR.CUSTO+FRETE]]-Tabela1[[#This Row],[FRETE]]</f>
        <v>9219.1779999999999</v>
      </c>
      <c r="G315" s="1">
        <v>19691.560000000001</v>
      </c>
      <c r="H315" s="1">
        <f>Tabela1[[#This Row],[PESO UND]]/1000*(1129)</f>
        <v>2549.2820000000002</v>
      </c>
      <c r="I315" s="1"/>
    </row>
    <row r="316" spans="1:9" x14ac:dyDescent="0.25">
      <c r="A316">
        <v>502</v>
      </c>
      <c r="B316" t="s">
        <v>304</v>
      </c>
      <c r="C316" t="str">
        <f t="shared" si="4"/>
        <v>129,</v>
      </c>
      <c r="D316" s="2">
        <v>93.75</v>
      </c>
      <c r="E316" s="1">
        <v>4092.59</v>
      </c>
      <c r="F316" s="1">
        <f>Tabela1[[#This Row],[PR.CUSTO+FRETE]]-Tabela1[[#This Row],[FRETE]]</f>
        <v>3986.7462500000001</v>
      </c>
      <c r="G316" s="1">
        <v>6293.53</v>
      </c>
      <c r="H316" s="1">
        <f>Tabela1[[#This Row],[PESO UND]]/1000*(1129)</f>
        <v>105.84375</v>
      </c>
      <c r="I316" s="1"/>
    </row>
    <row r="317" spans="1:9" x14ac:dyDescent="0.25">
      <c r="A317">
        <v>501</v>
      </c>
      <c r="B317" t="s">
        <v>305</v>
      </c>
      <c r="C317" t="str">
        <f t="shared" si="4"/>
        <v>129,</v>
      </c>
      <c r="D317" s="2">
        <v>746.8</v>
      </c>
      <c r="E317" s="1">
        <v>13919.96</v>
      </c>
      <c r="F317" s="1">
        <f>Tabela1[[#This Row],[PR.CUSTO+FRETE]]-Tabela1[[#This Row],[FRETE]]</f>
        <v>13076.8228</v>
      </c>
      <c r="G317" s="1">
        <v>20642.7</v>
      </c>
      <c r="H317" s="1">
        <f>Tabela1[[#This Row],[PESO UND]]/1000*(1129)</f>
        <v>843.13719999999989</v>
      </c>
      <c r="I317" s="1"/>
    </row>
    <row r="318" spans="1:9" x14ac:dyDescent="0.25">
      <c r="A318">
        <v>500</v>
      </c>
      <c r="B318" t="s">
        <v>306</v>
      </c>
      <c r="C318" t="str">
        <f t="shared" si="4"/>
        <v>129,</v>
      </c>
      <c r="D318" s="2">
        <v>746.8</v>
      </c>
      <c r="E318" s="1">
        <v>13393.8</v>
      </c>
      <c r="F318" s="1">
        <f>Tabela1[[#This Row],[PR.CUSTO+FRETE]]-Tabela1[[#This Row],[FRETE]]</f>
        <v>12550.6628</v>
      </c>
      <c r="G318" s="1">
        <v>19812.09</v>
      </c>
      <c r="H318" s="1">
        <f>Tabela1[[#This Row],[PESO UND]]/1000*(1129)</f>
        <v>843.13719999999989</v>
      </c>
      <c r="I318" s="1"/>
    </row>
    <row r="319" spans="1:9" x14ac:dyDescent="0.25">
      <c r="A319">
        <v>359</v>
      </c>
      <c r="B319" t="s">
        <v>307</v>
      </c>
      <c r="C319" t="str">
        <f t="shared" si="4"/>
        <v>175M</v>
      </c>
      <c r="D319" s="2">
        <v>12989.4</v>
      </c>
      <c r="E319" s="1">
        <v>73175.19</v>
      </c>
      <c r="F319" s="1">
        <f>Tabela1[[#This Row],[PR.CUSTO+FRETE]]-Tabela1[[#This Row],[FRETE]]</f>
        <v>58510.157400000004</v>
      </c>
      <c r="G319" s="1">
        <v>120272.84</v>
      </c>
      <c r="H319" s="1">
        <f>Tabela1[[#This Row],[PESO UND]]/1000*(1129)</f>
        <v>14665.0326</v>
      </c>
      <c r="I319" s="1"/>
    </row>
    <row r="320" spans="1:9" x14ac:dyDescent="0.25">
      <c r="A320">
        <v>363</v>
      </c>
      <c r="B320" t="s">
        <v>308</v>
      </c>
      <c r="C320" t="str">
        <f t="shared" si="4"/>
        <v>175M</v>
      </c>
      <c r="D320" s="2">
        <v>3574</v>
      </c>
      <c r="E320" s="1">
        <v>18365.689999999999</v>
      </c>
      <c r="F320" s="1">
        <f>Tabela1[[#This Row],[PR.CUSTO+FRETE]]-Tabela1[[#This Row],[FRETE]]</f>
        <v>14330.643999999998</v>
      </c>
      <c r="G320" s="1">
        <v>30760.28</v>
      </c>
      <c r="H320" s="1">
        <f>Tabela1[[#This Row],[PESO UND]]/1000*(1129)</f>
        <v>4035.0459999999998</v>
      </c>
      <c r="I320" s="1"/>
    </row>
    <row r="321" spans="1:9" x14ac:dyDescent="0.25">
      <c r="A321">
        <v>362</v>
      </c>
      <c r="B321" t="s">
        <v>309</v>
      </c>
      <c r="C321" t="str">
        <f t="shared" si="4"/>
        <v>175M</v>
      </c>
      <c r="D321" s="2">
        <v>127.5</v>
      </c>
      <c r="E321" s="1">
        <v>5565.93</v>
      </c>
      <c r="F321" s="1">
        <f>Tabela1[[#This Row],[PR.CUSTO+FRETE]]-Tabela1[[#This Row],[FRETE]]</f>
        <v>5421.9825000000001</v>
      </c>
      <c r="G321" s="1">
        <v>8559.2000000000007</v>
      </c>
      <c r="H321" s="1">
        <f>Tabela1[[#This Row],[PESO UND]]/1000*(1129)</f>
        <v>143.94749999999999</v>
      </c>
      <c r="I321" s="1"/>
    </row>
    <row r="322" spans="1:9" x14ac:dyDescent="0.25">
      <c r="A322">
        <v>361</v>
      </c>
      <c r="B322" t="s">
        <v>310</v>
      </c>
      <c r="C322" t="str">
        <f t="shared" ref="C322:C385" si="5">IFERROR(MID(B322,FIND("(",B322)+1,4),"")</f>
        <v>175M</v>
      </c>
      <c r="D322" s="2">
        <v>1009</v>
      </c>
      <c r="E322" s="1">
        <v>18798.490000000002</v>
      </c>
      <c r="F322" s="1">
        <f>Tabela1[[#This Row],[PR.CUSTO+FRETE]]-Tabela1[[#This Row],[FRETE]]</f>
        <v>17659.329000000002</v>
      </c>
      <c r="G322" s="1">
        <v>27876.52</v>
      </c>
      <c r="H322" s="1">
        <f>Tabela1[[#This Row],[PESO UND]]/1000*(1129)</f>
        <v>1139.1609999999998</v>
      </c>
      <c r="I322" s="1"/>
    </row>
    <row r="323" spans="1:9" x14ac:dyDescent="0.25">
      <c r="A323">
        <v>360</v>
      </c>
      <c r="B323" t="s">
        <v>311</v>
      </c>
      <c r="C323" t="str">
        <f t="shared" si="5"/>
        <v>175M</v>
      </c>
      <c r="D323" s="2">
        <v>1009</v>
      </c>
      <c r="E323" s="1">
        <v>18087.8</v>
      </c>
      <c r="F323" s="1">
        <f>Tabela1[[#This Row],[PR.CUSTO+FRETE]]-Tabela1[[#This Row],[FRETE]]</f>
        <v>16948.638999999999</v>
      </c>
      <c r="G323" s="1">
        <v>26754.63</v>
      </c>
      <c r="H323" s="1">
        <f>Tabela1[[#This Row],[PESO UND]]/1000*(1129)</f>
        <v>1139.1609999999998</v>
      </c>
      <c r="I323" s="1"/>
    </row>
    <row r="324" spans="1:9" x14ac:dyDescent="0.25">
      <c r="A324">
        <v>459</v>
      </c>
      <c r="B324" t="s">
        <v>312</v>
      </c>
      <c r="C324" t="str">
        <f t="shared" si="5"/>
        <v>36,7</v>
      </c>
      <c r="D324" s="2">
        <v>1015.7</v>
      </c>
      <c r="E324" s="1">
        <v>5621</v>
      </c>
      <c r="F324" s="1">
        <f>Tabela1[[#This Row],[PR.CUSTO+FRETE]]-Tabela1[[#This Row],[FRETE]]</f>
        <v>4474.2746999999999</v>
      </c>
      <c r="G324" s="1">
        <v>9660.15</v>
      </c>
      <c r="H324" s="1">
        <f>Tabela1[[#This Row],[PESO UND]]/1000*(1129)</f>
        <v>1146.7253000000001</v>
      </c>
      <c r="I324" s="1"/>
    </row>
    <row r="325" spans="1:9" x14ac:dyDescent="0.25">
      <c r="A325">
        <v>458</v>
      </c>
      <c r="B325" t="s">
        <v>313</v>
      </c>
      <c r="C325" t="str">
        <f t="shared" si="5"/>
        <v>36,7</v>
      </c>
      <c r="D325" s="2">
        <v>234.9</v>
      </c>
      <c r="E325" s="1">
        <v>1821.74</v>
      </c>
      <c r="F325" s="1">
        <f>Tabela1[[#This Row],[PR.CUSTO+FRETE]]-Tabela1[[#This Row],[FRETE]]</f>
        <v>1556.5379</v>
      </c>
      <c r="G325" s="1">
        <v>3130.6</v>
      </c>
      <c r="H325" s="1">
        <f>Tabela1[[#This Row],[PESO UND]]/1000*(1129)</f>
        <v>265.20209999999997</v>
      </c>
      <c r="I325" s="1"/>
    </row>
    <row r="326" spans="1:9" x14ac:dyDescent="0.25">
      <c r="A326">
        <v>462</v>
      </c>
      <c r="B326" t="s">
        <v>314</v>
      </c>
      <c r="C326" t="str">
        <f t="shared" si="5"/>
        <v>36,7</v>
      </c>
      <c r="D326" s="2">
        <v>1012</v>
      </c>
      <c r="E326" s="1">
        <v>5433.35</v>
      </c>
      <c r="F326" s="1">
        <f>Tabela1[[#This Row],[PR.CUSTO+FRETE]]-Tabela1[[#This Row],[FRETE]]</f>
        <v>4290.8020000000006</v>
      </c>
      <c r="G326" s="1">
        <v>9179.19</v>
      </c>
      <c r="H326" s="1">
        <f>Tabela1[[#This Row],[PESO UND]]/1000*(1129)</f>
        <v>1142.548</v>
      </c>
      <c r="I326" s="1"/>
    </row>
    <row r="327" spans="1:9" x14ac:dyDescent="0.25">
      <c r="A327">
        <v>606</v>
      </c>
      <c r="B327" t="s">
        <v>315</v>
      </c>
      <c r="C327" t="str">
        <f t="shared" si="5"/>
        <v>36,7</v>
      </c>
      <c r="D327" s="2">
        <v>3727.89</v>
      </c>
      <c r="E327" s="1">
        <v>17585.490000000002</v>
      </c>
      <c r="F327" s="1">
        <f>Tabela1[[#This Row],[PR.CUSTO+FRETE]]-Tabela1[[#This Row],[FRETE]]</f>
        <v>13376.702190000002</v>
      </c>
      <c r="G327" s="1">
        <v>27146.75</v>
      </c>
      <c r="H327" s="1">
        <f>Tabela1[[#This Row],[PESO UND]]/1000*(1129)</f>
        <v>4208.7878099999998</v>
      </c>
      <c r="I327" s="1"/>
    </row>
    <row r="328" spans="1:9" x14ac:dyDescent="0.25">
      <c r="A328">
        <v>461</v>
      </c>
      <c r="B328" t="s">
        <v>316</v>
      </c>
      <c r="C328" t="str">
        <f t="shared" si="5"/>
        <v>36,7</v>
      </c>
      <c r="D328" s="2">
        <v>33.75</v>
      </c>
      <c r="E328" s="1">
        <v>1473.33</v>
      </c>
      <c r="F328" s="1">
        <f>Tabela1[[#This Row],[PR.CUSTO+FRETE]]-Tabela1[[#This Row],[FRETE]]</f>
        <v>1435.2262499999999</v>
      </c>
      <c r="G328" s="1">
        <v>2265.67</v>
      </c>
      <c r="H328" s="1">
        <f>Tabela1[[#This Row],[PESO UND]]/1000*(1129)</f>
        <v>38.103750000000005</v>
      </c>
      <c r="I328" s="1"/>
    </row>
    <row r="329" spans="1:9" x14ac:dyDescent="0.25">
      <c r="A329">
        <v>463</v>
      </c>
      <c r="B329" t="s">
        <v>317</v>
      </c>
      <c r="C329" t="str">
        <f t="shared" si="5"/>
        <v>36,7</v>
      </c>
      <c r="D329" s="2">
        <v>277.3</v>
      </c>
      <c r="E329" s="1">
        <v>5590.77</v>
      </c>
      <c r="F329" s="1">
        <f>Tabela1[[#This Row],[PR.CUSTO+FRETE]]-Tabela1[[#This Row],[FRETE]]</f>
        <v>5277.6983</v>
      </c>
      <c r="G329" s="1">
        <v>8295.6</v>
      </c>
      <c r="H329" s="1">
        <f>Tabela1[[#This Row],[PESO UND]]/1000*(1129)</f>
        <v>313.07169999999996</v>
      </c>
      <c r="I329" s="1"/>
    </row>
    <row r="330" spans="1:9" x14ac:dyDescent="0.25">
      <c r="A330">
        <v>460</v>
      </c>
      <c r="B330" t="s">
        <v>318</v>
      </c>
      <c r="C330" t="str">
        <f t="shared" si="5"/>
        <v>36,7</v>
      </c>
      <c r="D330" s="2">
        <v>277.3</v>
      </c>
      <c r="E330" s="1">
        <v>5395.09</v>
      </c>
      <c r="F330" s="1">
        <f>Tabela1[[#This Row],[PR.CUSTO+FRETE]]-Tabela1[[#This Row],[FRETE]]</f>
        <v>5082.0182999999997</v>
      </c>
      <c r="G330" s="1">
        <v>7986.68</v>
      </c>
      <c r="H330" s="1">
        <f>Tabela1[[#This Row],[PESO UND]]/1000*(1129)</f>
        <v>313.07169999999996</v>
      </c>
      <c r="I330" s="1"/>
    </row>
    <row r="331" spans="1:9" x14ac:dyDescent="0.25">
      <c r="A331">
        <v>607</v>
      </c>
      <c r="B331" t="s">
        <v>319</v>
      </c>
      <c r="C331" t="str">
        <f t="shared" si="5"/>
        <v>31,5</v>
      </c>
      <c r="D331" s="2">
        <v>3264.22</v>
      </c>
      <c r="E331" s="1">
        <v>17683.82</v>
      </c>
      <c r="F331" s="1">
        <f>Tabela1[[#This Row],[PR.CUSTO+FRETE]]-Tabela1[[#This Row],[FRETE]]</f>
        <v>13998.51562</v>
      </c>
      <c r="G331" s="1">
        <v>28802.03</v>
      </c>
      <c r="H331" s="1">
        <f>Tabela1[[#This Row],[PESO UND]]/1000*(1129)</f>
        <v>3685.30438</v>
      </c>
      <c r="I331" s="1"/>
    </row>
    <row r="332" spans="1:9" x14ac:dyDescent="0.25">
      <c r="A332">
        <v>613</v>
      </c>
      <c r="B332" t="s">
        <v>320</v>
      </c>
      <c r="C332" t="str">
        <f t="shared" si="5"/>
        <v>31,5</v>
      </c>
      <c r="D332" s="2">
        <v>814.95</v>
      </c>
      <c r="E332" s="1">
        <v>4187.79</v>
      </c>
      <c r="F332" s="1">
        <f>Tabela1[[#This Row],[PR.CUSTO+FRETE]]-Tabela1[[#This Row],[FRETE]]</f>
        <v>3267.7114499999998</v>
      </c>
      <c r="G332" s="1">
        <v>7069.7</v>
      </c>
      <c r="H332" s="1">
        <f>Tabela1[[#This Row],[PESO UND]]/1000*(1129)</f>
        <v>920.07855000000006</v>
      </c>
      <c r="I332" s="1"/>
    </row>
    <row r="333" spans="1:9" x14ac:dyDescent="0.25">
      <c r="A333">
        <v>608</v>
      </c>
      <c r="B333" t="s">
        <v>321</v>
      </c>
      <c r="C333" t="str">
        <f t="shared" si="5"/>
        <v>31,5</v>
      </c>
      <c r="D333" s="2">
        <v>194.15</v>
      </c>
      <c r="E333" s="1">
        <v>1366.8</v>
      </c>
      <c r="F333" s="1">
        <f>Tabela1[[#This Row],[PR.CUSTO+FRETE]]-Tabela1[[#This Row],[FRETE]]</f>
        <v>1147.60465</v>
      </c>
      <c r="G333" s="1">
        <v>2381.54</v>
      </c>
      <c r="H333" s="1">
        <f>Tabela1[[#This Row],[PESO UND]]/1000*(1129)</f>
        <v>219.19535000000002</v>
      </c>
      <c r="I333" s="1"/>
    </row>
    <row r="334" spans="1:9" x14ac:dyDescent="0.25">
      <c r="A334">
        <v>609</v>
      </c>
      <c r="B334" t="s">
        <v>322</v>
      </c>
      <c r="C334" t="str">
        <f t="shared" si="5"/>
        <v>31,5</v>
      </c>
      <c r="D334" s="2">
        <v>1253</v>
      </c>
      <c r="E334" s="1">
        <v>6732.78</v>
      </c>
      <c r="F334" s="1">
        <f>Tabela1[[#This Row],[PR.CUSTO+FRETE]]-Tabela1[[#This Row],[FRETE]]</f>
        <v>5318.143</v>
      </c>
      <c r="G334" s="1">
        <v>11373.74</v>
      </c>
      <c r="H334" s="1">
        <f>Tabela1[[#This Row],[PESO UND]]/1000*(1129)</f>
        <v>1414.6369999999999</v>
      </c>
      <c r="I334" s="1"/>
    </row>
    <row r="335" spans="1:9" x14ac:dyDescent="0.25">
      <c r="A335">
        <v>612</v>
      </c>
      <c r="B335" t="s">
        <v>323</v>
      </c>
      <c r="C335" t="str">
        <f t="shared" si="5"/>
        <v>31,5</v>
      </c>
      <c r="D335" s="2">
        <v>37.5</v>
      </c>
      <c r="E335" s="1">
        <v>1637.04</v>
      </c>
      <c r="F335" s="1">
        <f>Tabela1[[#This Row],[PR.CUSTO+FRETE]]-Tabela1[[#This Row],[FRETE]]</f>
        <v>1594.7024999999999</v>
      </c>
      <c r="G335" s="1">
        <v>2517.41</v>
      </c>
      <c r="H335" s="1">
        <f>Tabela1[[#This Row],[PESO UND]]/1000*(1129)</f>
        <v>42.337499999999999</v>
      </c>
      <c r="I335" s="1"/>
    </row>
    <row r="336" spans="1:9" x14ac:dyDescent="0.25">
      <c r="A336">
        <v>611</v>
      </c>
      <c r="B336" t="s">
        <v>324</v>
      </c>
      <c r="C336" t="str">
        <f t="shared" si="5"/>
        <v>31,5</v>
      </c>
      <c r="D336" s="2">
        <v>234.7</v>
      </c>
      <c r="E336" s="1">
        <v>5081.28</v>
      </c>
      <c r="F336" s="1">
        <f>Tabela1[[#This Row],[PR.CUSTO+FRETE]]-Tabela1[[#This Row],[FRETE]]</f>
        <v>4816.3036999999995</v>
      </c>
      <c r="G336" s="1">
        <v>7543.17</v>
      </c>
      <c r="H336" s="1">
        <f>Tabela1[[#This Row],[PESO UND]]/1000*(1129)</f>
        <v>264.97629999999998</v>
      </c>
      <c r="I336" s="1"/>
    </row>
    <row r="337" spans="1:9" x14ac:dyDescent="0.25">
      <c r="A337">
        <v>610</v>
      </c>
      <c r="B337" t="s">
        <v>325</v>
      </c>
      <c r="C337" t="str">
        <f t="shared" si="5"/>
        <v>31,5</v>
      </c>
      <c r="D337" s="2">
        <v>234.7</v>
      </c>
      <c r="E337" s="1">
        <v>4915.88</v>
      </c>
      <c r="F337" s="1">
        <f>Tabela1[[#This Row],[PR.CUSTO+FRETE]]-Tabela1[[#This Row],[FRETE]]</f>
        <v>4650.9036999999998</v>
      </c>
      <c r="G337" s="1">
        <v>7282.08</v>
      </c>
      <c r="H337" s="1">
        <f>Tabela1[[#This Row],[PESO UND]]/1000*(1129)</f>
        <v>264.97629999999998</v>
      </c>
      <c r="I337" s="1"/>
    </row>
    <row r="338" spans="1:9" x14ac:dyDescent="0.25">
      <c r="A338">
        <v>1142</v>
      </c>
      <c r="B338" t="s">
        <v>326</v>
      </c>
      <c r="C338" t="str">
        <f t="shared" si="5"/>
        <v>54,8</v>
      </c>
      <c r="D338" s="2">
        <v>911.45</v>
      </c>
      <c r="E338" s="1">
        <v>5355.79</v>
      </c>
      <c r="F338" s="1">
        <f>Tabela1[[#This Row],[PR.CUSTO+FRETE]]-Tabela1[[#This Row],[FRETE]]</f>
        <v>4326.7629500000003</v>
      </c>
      <c r="G338" s="1">
        <v>9410.1299999999992</v>
      </c>
      <c r="H338" s="1">
        <f>Tabela1[[#This Row],[PESO UND]]/1000*(1129)</f>
        <v>1029.0270500000001</v>
      </c>
      <c r="I338" s="1"/>
    </row>
    <row r="339" spans="1:9" x14ac:dyDescent="0.25">
      <c r="A339">
        <v>1141</v>
      </c>
      <c r="B339" t="s">
        <v>327</v>
      </c>
      <c r="C339" t="str">
        <f t="shared" si="5"/>
        <v>54,8</v>
      </c>
      <c r="D339" s="2">
        <v>1658</v>
      </c>
      <c r="E339" s="1">
        <v>9070</v>
      </c>
      <c r="F339" s="1">
        <f>Tabela1[[#This Row],[PR.CUSTO+FRETE]]-Tabela1[[#This Row],[FRETE]]</f>
        <v>7198.1180000000004</v>
      </c>
      <c r="G339" s="1">
        <v>15300.89</v>
      </c>
      <c r="H339" s="1">
        <f>Tabela1[[#This Row],[PESO UND]]/1000*(1129)</f>
        <v>1871.8819999999998</v>
      </c>
      <c r="I339" s="1"/>
    </row>
    <row r="340" spans="1:9" x14ac:dyDescent="0.25">
      <c r="A340">
        <v>1137</v>
      </c>
      <c r="B340" t="s">
        <v>328</v>
      </c>
      <c r="C340" t="str">
        <f t="shared" si="5"/>
        <v>54,8</v>
      </c>
      <c r="D340" s="2">
        <v>5813.93</v>
      </c>
      <c r="E340" s="1">
        <v>32355.56</v>
      </c>
      <c r="F340" s="1">
        <f>Tabela1[[#This Row],[PR.CUSTO+FRETE]]-Tabela1[[#This Row],[FRETE]]</f>
        <v>25791.633030000001</v>
      </c>
      <c r="G340" s="1">
        <v>52268.95</v>
      </c>
      <c r="H340" s="1">
        <f>Tabela1[[#This Row],[PESO UND]]/1000*(1129)</f>
        <v>6563.9269700000004</v>
      </c>
      <c r="I340" s="1"/>
    </row>
    <row r="341" spans="1:9" x14ac:dyDescent="0.25">
      <c r="A341">
        <v>1140</v>
      </c>
      <c r="B341" t="s">
        <v>329</v>
      </c>
      <c r="C341" t="str">
        <f t="shared" si="5"/>
        <v>54,8</v>
      </c>
      <c r="D341" s="2">
        <v>52.5</v>
      </c>
      <c r="E341" s="1">
        <v>2291.85</v>
      </c>
      <c r="F341" s="1">
        <f>Tabela1[[#This Row],[PR.CUSTO+FRETE]]-Tabela1[[#This Row],[FRETE]]</f>
        <v>2232.5774999999999</v>
      </c>
      <c r="G341" s="1">
        <v>3524.38</v>
      </c>
      <c r="H341" s="1">
        <f>Tabela1[[#This Row],[PESO UND]]/1000*(1129)</f>
        <v>59.272500000000001</v>
      </c>
      <c r="I341" s="1"/>
    </row>
    <row r="342" spans="1:9" x14ac:dyDescent="0.25">
      <c r="A342">
        <v>1139</v>
      </c>
      <c r="B342" t="s">
        <v>330</v>
      </c>
      <c r="C342" t="str">
        <f t="shared" si="5"/>
        <v>54,8</v>
      </c>
      <c r="D342" s="2">
        <v>375.7</v>
      </c>
      <c r="E342" s="1">
        <v>7122.55</v>
      </c>
      <c r="F342" s="1">
        <f>Tabela1[[#This Row],[PR.CUSTO+FRETE]]-Tabela1[[#This Row],[FRETE]]</f>
        <v>6698.3847000000005</v>
      </c>
      <c r="G342" s="1">
        <v>10573.88</v>
      </c>
      <c r="H342" s="1">
        <f>Tabela1[[#This Row],[PESO UND]]/1000*(1129)</f>
        <v>424.1653</v>
      </c>
      <c r="I342" s="1"/>
    </row>
    <row r="343" spans="1:9" x14ac:dyDescent="0.25">
      <c r="A343">
        <v>1138</v>
      </c>
      <c r="B343" t="s">
        <v>331</v>
      </c>
      <c r="C343" t="str">
        <f t="shared" si="5"/>
        <v>54,8</v>
      </c>
      <c r="D343" s="2">
        <v>375.7</v>
      </c>
      <c r="E343" s="1">
        <v>6879.12</v>
      </c>
      <c r="F343" s="1">
        <f>Tabela1[[#This Row],[PR.CUSTO+FRETE]]-Tabela1[[#This Row],[FRETE]]</f>
        <v>6454.9547000000002</v>
      </c>
      <c r="G343" s="1">
        <v>10189.6</v>
      </c>
      <c r="H343" s="1">
        <f>Tabela1[[#This Row],[PESO UND]]/1000*(1129)</f>
        <v>424.1653</v>
      </c>
      <c r="I343" s="1"/>
    </row>
    <row r="344" spans="1:9" x14ac:dyDescent="0.25">
      <c r="A344">
        <v>1190</v>
      </c>
      <c r="B344" t="s">
        <v>332</v>
      </c>
      <c r="C344" t="str">
        <f t="shared" si="5"/>
        <v>30,2</v>
      </c>
      <c r="D344" s="2">
        <v>4410.05</v>
      </c>
      <c r="E344" s="1">
        <v>24842.98</v>
      </c>
      <c r="F344" s="1">
        <f>Tabela1[[#This Row],[PR.CUSTO+FRETE]]-Tabela1[[#This Row],[FRETE]]</f>
        <v>19864.03355</v>
      </c>
      <c r="G344" s="1">
        <v>40410.480000000003</v>
      </c>
      <c r="H344" s="1">
        <f>Tabela1[[#This Row],[PESO UND]]/1000*(1129)</f>
        <v>4978.9464500000004</v>
      </c>
      <c r="I344" s="1"/>
    </row>
    <row r="345" spans="1:9" x14ac:dyDescent="0.25">
      <c r="A345">
        <v>1196</v>
      </c>
      <c r="B345" t="s">
        <v>333</v>
      </c>
      <c r="C345" t="str">
        <f t="shared" si="5"/>
        <v>30,2</v>
      </c>
      <c r="D345" s="2">
        <v>134.80000000000001</v>
      </c>
      <c r="E345" s="1">
        <v>1096.23</v>
      </c>
      <c r="F345" s="1">
        <f>Tabela1[[#This Row],[PR.CUSTO+FRETE]]-Tabela1[[#This Row],[FRETE]]</f>
        <v>944.04079999999999</v>
      </c>
      <c r="G345" s="1">
        <v>1871.23</v>
      </c>
      <c r="H345" s="1">
        <f>Tabela1[[#This Row],[PESO UND]]/1000*(1129)</f>
        <v>152.1892</v>
      </c>
      <c r="I345" s="1"/>
    </row>
    <row r="346" spans="1:9" x14ac:dyDescent="0.25">
      <c r="A346">
        <v>1195</v>
      </c>
      <c r="B346" t="s">
        <v>334</v>
      </c>
      <c r="C346" t="str">
        <f t="shared" si="5"/>
        <v>30,2</v>
      </c>
      <c r="D346" s="2">
        <v>50.4</v>
      </c>
      <c r="E346" s="1">
        <v>2432.56</v>
      </c>
      <c r="F346" s="1">
        <f>Tabela1[[#This Row],[PR.CUSTO+FRETE]]-Tabela1[[#This Row],[FRETE]]</f>
        <v>2375.6583999999998</v>
      </c>
      <c r="G346" s="1">
        <v>3750.24</v>
      </c>
      <c r="H346" s="1">
        <f>Tabela1[[#This Row],[PESO UND]]/1000*(1129)</f>
        <v>56.901600000000002</v>
      </c>
      <c r="I346" s="1"/>
    </row>
    <row r="347" spans="1:9" x14ac:dyDescent="0.25">
      <c r="A347">
        <v>1194</v>
      </c>
      <c r="B347" t="s">
        <v>335</v>
      </c>
      <c r="C347" t="str">
        <f t="shared" si="5"/>
        <v>30,2</v>
      </c>
      <c r="D347" s="2">
        <v>362.4</v>
      </c>
      <c r="E347" s="1">
        <v>6902.62</v>
      </c>
      <c r="F347" s="1">
        <f>Tabela1[[#This Row],[PR.CUSTO+FRETE]]-Tabela1[[#This Row],[FRETE]]</f>
        <v>6493.4704000000002</v>
      </c>
      <c r="G347" s="1">
        <v>10250.4</v>
      </c>
      <c r="H347" s="1">
        <f>Tabela1[[#This Row],[PESO UND]]/1000*(1129)</f>
        <v>409.14960000000002</v>
      </c>
      <c r="I347" s="1"/>
    </row>
    <row r="348" spans="1:9" x14ac:dyDescent="0.25">
      <c r="A348">
        <v>1193</v>
      </c>
      <c r="B348" t="s">
        <v>336</v>
      </c>
      <c r="C348" t="str">
        <f t="shared" si="5"/>
        <v>30,2</v>
      </c>
      <c r="D348" s="2">
        <v>362.4</v>
      </c>
      <c r="E348" s="1">
        <v>6665.15</v>
      </c>
      <c r="F348" s="1">
        <f>Tabela1[[#This Row],[PR.CUSTO+FRETE]]-Tabela1[[#This Row],[FRETE]]</f>
        <v>6256.0003999999999</v>
      </c>
      <c r="G348" s="1">
        <v>9875.5400000000009</v>
      </c>
      <c r="H348" s="1">
        <f>Tabela1[[#This Row],[PESO UND]]/1000*(1129)</f>
        <v>409.14960000000002</v>
      </c>
      <c r="I348" s="1"/>
    </row>
    <row r="349" spans="1:9" x14ac:dyDescent="0.25">
      <c r="A349">
        <v>1207</v>
      </c>
      <c r="B349" t="s">
        <v>337</v>
      </c>
      <c r="C349" t="str">
        <f t="shared" si="5"/>
        <v>18,7</v>
      </c>
      <c r="D349" s="2">
        <v>1534.3</v>
      </c>
      <c r="E349" s="1">
        <v>8908.2900000000009</v>
      </c>
      <c r="F349" s="1">
        <f>Tabela1[[#This Row],[PR.CUSTO+FRETE]]-Tabela1[[#This Row],[FRETE]]</f>
        <v>7176.0653000000011</v>
      </c>
      <c r="G349" s="1">
        <v>14415.15</v>
      </c>
      <c r="H349" s="1">
        <f>Tabela1[[#This Row],[PESO UND]]/1000*(1129)</f>
        <v>1732.2247</v>
      </c>
      <c r="I349" s="1"/>
    </row>
    <row r="350" spans="1:9" x14ac:dyDescent="0.25">
      <c r="A350">
        <v>1210</v>
      </c>
      <c r="B350" t="s">
        <v>338</v>
      </c>
      <c r="C350" t="str">
        <f t="shared" si="5"/>
        <v>18,7</v>
      </c>
      <c r="D350" s="2">
        <v>18</v>
      </c>
      <c r="E350" s="1">
        <v>868.77</v>
      </c>
      <c r="F350" s="1">
        <f>Tabela1[[#This Row],[PR.CUSTO+FRETE]]-Tabela1[[#This Row],[FRETE]]</f>
        <v>848.44799999999998</v>
      </c>
      <c r="G350" s="1">
        <v>1339.37</v>
      </c>
      <c r="H350" s="1">
        <f>Tabela1[[#This Row],[PESO UND]]/1000*(1129)</f>
        <v>20.321999999999999</v>
      </c>
      <c r="I350" s="1"/>
    </row>
    <row r="351" spans="1:9" x14ac:dyDescent="0.25">
      <c r="A351">
        <v>1209</v>
      </c>
      <c r="B351" t="s">
        <v>339</v>
      </c>
      <c r="C351" t="str">
        <f t="shared" si="5"/>
        <v>18,7</v>
      </c>
      <c r="D351" s="2">
        <v>100.4</v>
      </c>
      <c r="E351" s="1">
        <v>1927.37</v>
      </c>
      <c r="F351" s="1">
        <f>Tabela1[[#This Row],[PR.CUSTO+FRETE]]-Tabela1[[#This Row],[FRETE]]</f>
        <v>1814.0183999999999</v>
      </c>
      <c r="G351" s="1">
        <v>2863.56</v>
      </c>
      <c r="H351" s="1">
        <f>Tabela1[[#This Row],[PESO UND]]/1000*(1129)</f>
        <v>113.3516</v>
      </c>
      <c r="I351" s="1"/>
    </row>
    <row r="352" spans="1:9" x14ac:dyDescent="0.25">
      <c r="A352">
        <v>1208</v>
      </c>
      <c r="B352" t="s">
        <v>340</v>
      </c>
      <c r="C352" t="str">
        <f t="shared" si="5"/>
        <v>18,7</v>
      </c>
      <c r="D352" s="2">
        <v>100.4</v>
      </c>
      <c r="E352" s="1">
        <v>1862.8</v>
      </c>
      <c r="F352" s="1">
        <f>Tabela1[[#This Row],[PR.CUSTO+FRETE]]-Tabela1[[#This Row],[FRETE]]</f>
        <v>1749.4484</v>
      </c>
      <c r="G352" s="1">
        <v>2761.64</v>
      </c>
      <c r="H352" s="1">
        <f>Tabela1[[#This Row],[PESO UND]]/1000*(1129)</f>
        <v>113.3516</v>
      </c>
      <c r="I352" s="1"/>
    </row>
    <row r="353" spans="1:9" x14ac:dyDescent="0.25">
      <c r="A353">
        <v>1231</v>
      </c>
      <c r="B353" t="s">
        <v>341</v>
      </c>
      <c r="C353" t="str">
        <f t="shared" si="5"/>
        <v>28,0</v>
      </c>
      <c r="D353" s="2">
        <v>2384.9299999999998</v>
      </c>
      <c r="E353" s="1">
        <v>12692.2</v>
      </c>
      <c r="F353" s="1">
        <f>Tabela1[[#This Row],[PR.CUSTO+FRETE]]-Tabela1[[#This Row],[FRETE]]</f>
        <v>9999.6140300000006</v>
      </c>
      <c r="G353" s="1">
        <v>20895.68</v>
      </c>
      <c r="H353" s="1">
        <f>Tabela1[[#This Row],[PESO UND]]/1000*(1129)</f>
        <v>2692.5859699999996</v>
      </c>
      <c r="I353" s="1"/>
    </row>
    <row r="354" spans="1:9" x14ac:dyDescent="0.25">
      <c r="A354">
        <v>1235</v>
      </c>
      <c r="B354" t="s">
        <v>342</v>
      </c>
      <c r="C354" t="str">
        <f t="shared" si="5"/>
        <v>28,0</v>
      </c>
      <c r="D354" s="2">
        <v>267</v>
      </c>
      <c r="E354" s="1">
        <v>1659.79</v>
      </c>
      <c r="F354" s="1">
        <f>Tabela1[[#This Row],[PR.CUSTO+FRETE]]-Tabela1[[#This Row],[FRETE]]</f>
        <v>1358.347</v>
      </c>
      <c r="G354" s="1">
        <v>2774.32</v>
      </c>
      <c r="H354" s="1">
        <f>Tabela1[[#This Row],[PESO UND]]/1000*(1129)</f>
        <v>301.44300000000004</v>
      </c>
      <c r="I354" s="1"/>
    </row>
    <row r="355" spans="1:9" x14ac:dyDescent="0.25">
      <c r="A355">
        <v>1234</v>
      </c>
      <c r="B355" t="s">
        <v>343</v>
      </c>
      <c r="C355" t="str">
        <f t="shared" si="5"/>
        <v>28,0</v>
      </c>
      <c r="D355" s="2">
        <v>25.2</v>
      </c>
      <c r="E355" s="1">
        <v>1216.28</v>
      </c>
      <c r="F355" s="1">
        <f>Tabela1[[#This Row],[PR.CUSTO+FRETE]]-Tabela1[[#This Row],[FRETE]]</f>
        <v>1187.8291999999999</v>
      </c>
      <c r="G355" s="1">
        <v>1875.12</v>
      </c>
      <c r="H355" s="1">
        <f>Tabela1[[#This Row],[PESO UND]]/1000*(1129)</f>
        <v>28.450800000000001</v>
      </c>
      <c r="I355" s="1"/>
    </row>
    <row r="356" spans="1:9" x14ac:dyDescent="0.25">
      <c r="A356">
        <v>1233</v>
      </c>
      <c r="B356" t="s">
        <v>344</v>
      </c>
      <c r="C356" t="str">
        <f t="shared" si="5"/>
        <v>28,0</v>
      </c>
      <c r="D356" s="2">
        <v>202.5</v>
      </c>
      <c r="E356" s="1">
        <v>3795.21</v>
      </c>
      <c r="F356" s="1">
        <f>Tabela1[[#This Row],[PR.CUSTO+FRETE]]-Tabela1[[#This Row],[FRETE]]</f>
        <v>3566.5875000000001</v>
      </c>
      <c r="G356" s="1">
        <v>5630.11</v>
      </c>
      <c r="H356" s="1">
        <f>Tabela1[[#This Row],[PESO UND]]/1000*(1129)</f>
        <v>228.6225</v>
      </c>
      <c r="I356" s="1"/>
    </row>
    <row r="357" spans="1:9" x14ac:dyDescent="0.25">
      <c r="A357">
        <v>1232</v>
      </c>
      <c r="B357" t="s">
        <v>345</v>
      </c>
      <c r="C357" t="str">
        <f t="shared" si="5"/>
        <v>28,0</v>
      </c>
      <c r="D357" s="2">
        <v>202.5</v>
      </c>
      <c r="E357" s="1">
        <v>3666.69</v>
      </c>
      <c r="F357" s="1">
        <f>Tabela1[[#This Row],[PR.CUSTO+FRETE]]-Tabela1[[#This Row],[FRETE]]</f>
        <v>3438.0675000000001</v>
      </c>
      <c r="G357" s="1">
        <v>5427.24</v>
      </c>
      <c r="H357" s="1">
        <f>Tabela1[[#This Row],[PESO UND]]/1000*(1129)</f>
        <v>228.6225</v>
      </c>
      <c r="I357" s="1"/>
    </row>
    <row r="358" spans="1:9" x14ac:dyDescent="0.25">
      <c r="A358">
        <v>636</v>
      </c>
      <c r="B358" t="s">
        <v>346</v>
      </c>
      <c r="C358" t="str">
        <f t="shared" si="5"/>
        <v/>
      </c>
      <c r="D358" s="2">
        <v>4225.53</v>
      </c>
      <c r="E358" s="1">
        <v>23486.01</v>
      </c>
      <c r="F358" s="1">
        <f>Tabela1[[#This Row],[PR.CUSTO+FRETE]]-Tabela1[[#This Row],[FRETE]]</f>
        <v>18715.386629999997</v>
      </c>
      <c r="G358" s="1">
        <v>38134.49</v>
      </c>
      <c r="H358" s="1">
        <f>Tabela1[[#This Row],[PESO UND]]/1000*(1129)</f>
        <v>4770.6233700000003</v>
      </c>
      <c r="I358" s="1"/>
    </row>
    <row r="359" spans="1:9" x14ac:dyDescent="0.25">
      <c r="A359">
        <v>1081</v>
      </c>
      <c r="B359" t="s">
        <v>347</v>
      </c>
      <c r="C359" t="str">
        <f t="shared" si="5"/>
        <v/>
      </c>
      <c r="D359" s="2">
        <v>2083.25</v>
      </c>
      <c r="E359" s="1">
        <v>12775.57</v>
      </c>
      <c r="F359" s="1">
        <f>Tabela1[[#This Row],[PR.CUSTO+FRETE]]-Tabela1[[#This Row],[FRETE]]</f>
        <v>10423.580749999999</v>
      </c>
      <c r="G359" s="1">
        <v>22655.86</v>
      </c>
      <c r="H359" s="1">
        <f>Tabela1[[#This Row],[PESO UND]]/1000*(1129)</f>
        <v>2351.9892500000001</v>
      </c>
      <c r="I359" s="1"/>
    </row>
    <row r="360" spans="1:9" x14ac:dyDescent="0.25">
      <c r="A360">
        <v>143</v>
      </c>
      <c r="B360" t="s">
        <v>348</v>
      </c>
      <c r="C360" t="str">
        <f t="shared" si="5"/>
        <v/>
      </c>
      <c r="D360" s="2">
        <v>41.25</v>
      </c>
      <c r="E360" s="1">
        <v>1800.74</v>
      </c>
      <c r="F360" s="1">
        <f>Tabela1[[#This Row],[PR.CUSTO+FRETE]]-Tabela1[[#This Row],[FRETE]]</f>
        <v>1754.16875</v>
      </c>
      <c r="G360" s="1">
        <v>2769.15</v>
      </c>
      <c r="H360" s="1">
        <f>Tabela1[[#This Row],[PESO UND]]/1000*(1129)</f>
        <v>46.571249999999999</v>
      </c>
      <c r="I360" s="1"/>
    </row>
    <row r="361" spans="1:9" x14ac:dyDescent="0.25">
      <c r="A361">
        <v>141</v>
      </c>
      <c r="B361" t="s">
        <v>349</v>
      </c>
      <c r="C361" t="str">
        <f t="shared" si="5"/>
        <v/>
      </c>
      <c r="D361" s="2">
        <v>311.10000000000002</v>
      </c>
      <c r="E361" s="1">
        <v>6563.34</v>
      </c>
      <c r="F361" s="1">
        <f>Tabela1[[#This Row],[PR.CUSTO+FRETE]]-Tabela1[[#This Row],[FRETE]]</f>
        <v>6212.1081000000004</v>
      </c>
      <c r="G361" s="1">
        <v>9737.6299999999992</v>
      </c>
      <c r="H361" s="1">
        <f>Tabela1[[#This Row],[PESO UND]]/1000*(1129)</f>
        <v>351.23190000000005</v>
      </c>
      <c r="I361" s="1"/>
    </row>
    <row r="362" spans="1:9" x14ac:dyDescent="0.25">
      <c r="A362">
        <v>142</v>
      </c>
      <c r="B362" t="s">
        <v>350</v>
      </c>
      <c r="C362" t="str">
        <f t="shared" si="5"/>
        <v/>
      </c>
      <c r="D362" s="2">
        <v>306</v>
      </c>
      <c r="E362" s="1">
        <v>6208.44</v>
      </c>
      <c r="F362" s="1">
        <f>Tabela1[[#This Row],[PR.CUSTO+FRETE]]-Tabela1[[#This Row],[FRETE]]</f>
        <v>5862.9659999999994</v>
      </c>
      <c r="G362" s="1">
        <v>9186.48</v>
      </c>
      <c r="H362" s="1">
        <f>Tabela1[[#This Row],[PESO UND]]/1000*(1129)</f>
        <v>345.47399999999999</v>
      </c>
      <c r="I362" s="1"/>
    </row>
    <row r="363" spans="1:9" x14ac:dyDescent="0.25">
      <c r="A363">
        <v>788</v>
      </c>
      <c r="B363" t="s">
        <v>351</v>
      </c>
      <c r="C363" t="str">
        <f t="shared" si="5"/>
        <v>34,3</v>
      </c>
      <c r="D363" s="2">
        <v>3607.4</v>
      </c>
      <c r="E363" s="1">
        <v>20982.42</v>
      </c>
      <c r="F363" s="1">
        <f>Tabela1[[#This Row],[PR.CUSTO+FRETE]]-Tabela1[[#This Row],[FRETE]]</f>
        <v>16909.665399999998</v>
      </c>
      <c r="G363" s="1">
        <v>34118.43</v>
      </c>
      <c r="H363" s="1">
        <f>Tabela1[[#This Row],[PESO UND]]/1000*(1129)</f>
        <v>4072.7546000000002</v>
      </c>
      <c r="I363" s="1"/>
    </row>
    <row r="364" spans="1:9" x14ac:dyDescent="0.25">
      <c r="A364">
        <v>794</v>
      </c>
      <c r="B364" t="s">
        <v>352</v>
      </c>
      <c r="C364" t="str">
        <f t="shared" si="5"/>
        <v>34,3</v>
      </c>
      <c r="D364" s="2">
        <v>827.25</v>
      </c>
      <c r="E364" s="1">
        <v>5405.23</v>
      </c>
      <c r="F364" s="1">
        <f>Tabela1[[#This Row],[PR.CUSTO+FRETE]]-Tabela1[[#This Row],[FRETE]]</f>
        <v>4471.2647499999994</v>
      </c>
      <c r="G364" s="1">
        <v>9729.27</v>
      </c>
      <c r="H364" s="1">
        <f>Tabela1[[#This Row],[PESO UND]]/1000*(1129)</f>
        <v>933.96525000000008</v>
      </c>
      <c r="I364" s="1"/>
    </row>
    <row r="365" spans="1:9" x14ac:dyDescent="0.25">
      <c r="A365">
        <v>793</v>
      </c>
      <c r="B365" t="s">
        <v>353</v>
      </c>
      <c r="C365" t="str">
        <f t="shared" si="5"/>
        <v>34,3</v>
      </c>
      <c r="D365" s="2">
        <v>234.9</v>
      </c>
      <c r="E365" s="1">
        <v>1821.74</v>
      </c>
      <c r="F365" s="1">
        <f>Tabela1[[#This Row],[PR.CUSTO+FRETE]]-Tabela1[[#This Row],[FRETE]]</f>
        <v>1556.5379</v>
      </c>
      <c r="G365" s="1">
        <v>3130.6</v>
      </c>
      <c r="H365" s="1">
        <f>Tabela1[[#This Row],[PESO UND]]/1000*(1129)</f>
        <v>265.20209999999997</v>
      </c>
      <c r="I365" s="1"/>
    </row>
    <row r="366" spans="1:9" x14ac:dyDescent="0.25">
      <c r="A366">
        <v>792</v>
      </c>
      <c r="B366" t="s">
        <v>354</v>
      </c>
      <c r="C366" t="str">
        <f t="shared" si="5"/>
        <v>34,3</v>
      </c>
      <c r="D366" s="2">
        <v>1283</v>
      </c>
      <c r="E366" s="1">
        <v>6880.05</v>
      </c>
      <c r="F366" s="1">
        <f>Tabela1[[#This Row],[PR.CUSTO+FRETE]]-Tabela1[[#This Row],[FRETE]]</f>
        <v>5431.5430000000006</v>
      </c>
      <c r="G366" s="1">
        <v>11624.36</v>
      </c>
      <c r="H366" s="1">
        <f>Tabela1[[#This Row],[PESO UND]]/1000*(1129)</f>
        <v>1448.5069999999998</v>
      </c>
      <c r="I366" s="1"/>
    </row>
    <row r="367" spans="1:9" x14ac:dyDescent="0.25">
      <c r="A367">
        <v>791</v>
      </c>
      <c r="B367" t="s">
        <v>355</v>
      </c>
      <c r="C367" t="str">
        <f t="shared" si="5"/>
        <v>34,3</v>
      </c>
      <c r="D367" s="2">
        <v>41.25</v>
      </c>
      <c r="E367" s="1">
        <v>1800.74</v>
      </c>
      <c r="F367" s="1">
        <f>Tabela1[[#This Row],[PR.CUSTO+FRETE]]-Tabela1[[#This Row],[FRETE]]</f>
        <v>1754.16875</v>
      </c>
      <c r="G367" s="1">
        <v>2769.15</v>
      </c>
      <c r="H367" s="1">
        <f>Tabela1[[#This Row],[PESO UND]]/1000*(1129)</f>
        <v>46.571249999999999</v>
      </c>
      <c r="I367" s="1"/>
    </row>
    <row r="368" spans="1:9" x14ac:dyDescent="0.25">
      <c r="A368">
        <v>790</v>
      </c>
      <c r="B368" t="s">
        <v>356</v>
      </c>
      <c r="C368" t="str">
        <f t="shared" si="5"/>
        <v>34,3</v>
      </c>
      <c r="D368" s="2">
        <v>320</v>
      </c>
      <c r="E368" s="1">
        <v>6652.3</v>
      </c>
      <c r="F368" s="1">
        <f>Tabela1[[#This Row],[PR.CUSTO+FRETE]]-Tabela1[[#This Row],[FRETE]]</f>
        <v>6291.02</v>
      </c>
      <c r="G368" s="1">
        <v>9873.77</v>
      </c>
      <c r="H368" s="1">
        <f>Tabela1[[#This Row],[PESO UND]]/1000*(1129)</f>
        <v>361.28000000000003</v>
      </c>
      <c r="I368" s="1"/>
    </row>
    <row r="369" spans="1:9" x14ac:dyDescent="0.25">
      <c r="A369">
        <v>789</v>
      </c>
      <c r="B369" t="s">
        <v>357</v>
      </c>
      <c r="C369" t="str">
        <f t="shared" si="5"/>
        <v>34,3</v>
      </c>
      <c r="D369" s="2">
        <v>320</v>
      </c>
      <c r="E369" s="1">
        <v>6426.62</v>
      </c>
      <c r="F369" s="1">
        <f>Tabela1[[#This Row],[PR.CUSTO+FRETE]]-Tabela1[[#This Row],[FRETE]]</f>
        <v>6065.34</v>
      </c>
      <c r="G369" s="1">
        <v>9517.51</v>
      </c>
      <c r="H369" s="1">
        <f>Tabela1[[#This Row],[PESO UND]]/1000*(1129)</f>
        <v>361.28000000000003</v>
      </c>
      <c r="I369" s="1"/>
    </row>
    <row r="370" spans="1:9" x14ac:dyDescent="0.25">
      <c r="A370">
        <v>637</v>
      </c>
      <c r="B370" t="s">
        <v>358</v>
      </c>
      <c r="C370" t="str">
        <f t="shared" si="5"/>
        <v>37,3</v>
      </c>
      <c r="D370" s="2">
        <v>3474.67</v>
      </c>
      <c r="E370" s="1">
        <v>20584.57</v>
      </c>
      <c r="F370" s="1">
        <f>Tabela1[[#This Row],[PR.CUSTO+FRETE]]-Tabela1[[#This Row],[FRETE]]</f>
        <v>16661.667569999998</v>
      </c>
      <c r="G370" s="1">
        <v>33354.29</v>
      </c>
      <c r="H370" s="1">
        <f>Tabela1[[#This Row],[PESO UND]]/1000*(1129)</f>
        <v>3922.9024300000001</v>
      </c>
      <c r="I370" s="1"/>
    </row>
    <row r="371" spans="1:9" x14ac:dyDescent="0.25">
      <c r="A371">
        <v>643</v>
      </c>
      <c r="B371" t="s">
        <v>359</v>
      </c>
      <c r="C371" t="str">
        <f t="shared" si="5"/>
        <v>37,3</v>
      </c>
      <c r="D371" s="2">
        <v>957.7</v>
      </c>
      <c r="E371" s="1">
        <v>5211.6400000000003</v>
      </c>
      <c r="F371" s="1">
        <f>Tabela1[[#This Row],[PR.CUSTO+FRETE]]-Tabela1[[#This Row],[FRETE]]</f>
        <v>4130.3967000000002</v>
      </c>
      <c r="G371" s="1">
        <v>8975.9699999999993</v>
      </c>
      <c r="H371" s="1">
        <f>Tabela1[[#This Row],[PESO UND]]/1000*(1129)</f>
        <v>1081.2433000000001</v>
      </c>
      <c r="I371" s="1"/>
    </row>
    <row r="372" spans="1:9" x14ac:dyDescent="0.25">
      <c r="A372">
        <v>642</v>
      </c>
      <c r="B372" t="s">
        <v>360</v>
      </c>
      <c r="C372" t="str">
        <f t="shared" si="5"/>
        <v>37,3</v>
      </c>
      <c r="D372" s="2">
        <v>250.5</v>
      </c>
      <c r="E372" s="1">
        <v>1914.47</v>
      </c>
      <c r="F372" s="1">
        <f>Tabela1[[#This Row],[PR.CUSTO+FRETE]]-Tabela1[[#This Row],[FRETE]]</f>
        <v>1631.6555000000001</v>
      </c>
      <c r="G372" s="1">
        <v>3296.62</v>
      </c>
      <c r="H372" s="1">
        <f>Tabela1[[#This Row],[PESO UND]]/1000*(1129)</f>
        <v>282.81450000000001</v>
      </c>
      <c r="I372" s="1"/>
    </row>
    <row r="373" spans="1:9" x14ac:dyDescent="0.25">
      <c r="A373">
        <v>641</v>
      </c>
      <c r="B373" t="s">
        <v>361</v>
      </c>
      <c r="C373" t="str">
        <f t="shared" si="5"/>
        <v>37,3</v>
      </c>
      <c r="D373" s="2">
        <v>1193</v>
      </c>
      <c r="E373" s="1">
        <v>6438.24</v>
      </c>
      <c r="F373" s="1">
        <f>Tabela1[[#This Row],[PR.CUSTO+FRETE]]-Tabela1[[#This Row],[FRETE]]</f>
        <v>5091.3429999999998</v>
      </c>
      <c r="G373" s="1">
        <v>10872.51</v>
      </c>
      <c r="H373" s="1">
        <f>Tabela1[[#This Row],[PESO UND]]/1000*(1129)</f>
        <v>1346.8970000000002</v>
      </c>
      <c r="I373" s="1"/>
    </row>
    <row r="374" spans="1:9" x14ac:dyDescent="0.25">
      <c r="A374">
        <v>640</v>
      </c>
      <c r="B374" t="s">
        <v>362</v>
      </c>
      <c r="C374" t="str">
        <f t="shared" si="5"/>
        <v>37,3</v>
      </c>
      <c r="D374" s="2">
        <v>37.5</v>
      </c>
      <c r="E374" s="1">
        <v>1637.04</v>
      </c>
      <c r="F374" s="1">
        <f>Tabela1[[#This Row],[PR.CUSTO+FRETE]]-Tabela1[[#This Row],[FRETE]]</f>
        <v>1594.7024999999999</v>
      </c>
      <c r="G374" s="1">
        <v>2517.41</v>
      </c>
      <c r="H374" s="1">
        <f>Tabela1[[#This Row],[PESO UND]]/1000*(1129)</f>
        <v>42.337499999999999</v>
      </c>
      <c r="I374" s="1"/>
    </row>
    <row r="375" spans="1:9" x14ac:dyDescent="0.25">
      <c r="A375">
        <v>639</v>
      </c>
      <c r="B375" t="s">
        <v>363</v>
      </c>
      <c r="C375" t="str">
        <f t="shared" si="5"/>
        <v>37,3</v>
      </c>
      <c r="D375" s="2">
        <v>301.89999999999998</v>
      </c>
      <c r="E375" s="1">
        <v>5683.77</v>
      </c>
      <c r="F375" s="1">
        <f>Tabela1[[#This Row],[PR.CUSTO+FRETE]]-Tabela1[[#This Row],[FRETE]]</f>
        <v>5342.9249</v>
      </c>
      <c r="G375" s="1">
        <v>8434.17</v>
      </c>
      <c r="H375" s="1">
        <f>Tabela1[[#This Row],[PESO UND]]/1000*(1129)</f>
        <v>340.8451</v>
      </c>
      <c r="I375" s="1"/>
    </row>
    <row r="376" spans="1:9" x14ac:dyDescent="0.25">
      <c r="A376">
        <v>638</v>
      </c>
      <c r="B376" t="s">
        <v>364</v>
      </c>
      <c r="C376" t="str">
        <f t="shared" si="5"/>
        <v>37,3</v>
      </c>
      <c r="D376" s="2">
        <v>301.89999999999998</v>
      </c>
      <c r="E376" s="1">
        <v>5495.27</v>
      </c>
      <c r="F376" s="1">
        <f>Tabela1[[#This Row],[PR.CUSTO+FRETE]]-Tabela1[[#This Row],[FRETE]]</f>
        <v>5154.4249</v>
      </c>
      <c r="G376" s="1">
        <v>8136.62</v>
      </c>
      <c r="H376" s="1">
        <f>Tabela1[[#This Row],[PESO UND]]/1000*(1129)</f>
        <v>340.8451</v>
      </c>
      <c r="I376" s="1"/>
    </row>
    <row r="377" spans="1:9" x14ac:dyDescent="0.25">
      <c r="A377">
        <v>644</v>
      </c>
      <c r="B377" t="s">
        <v>943</v>
      </c>
      <c r="C377" t="str">
        <f t="shared" si="5"/>
        <v>30,0</v>
      </c>
      <c r="D377" s="2">
        <v>2936.09</v>
      </c>
      <c r="E377" s="1">
        <v>16402.2</v>
      </c>
      <c r="F377" s="1">
        <f>Tabela1[[#This Row],[PR.CUSTO+FRETE]]-Tabela1[[#This Row],[FRETE]]</f>
        <v>13087.35439</v>
      </c>
      <c r="G377" s="1">
        <v>26543.15</v>
      </c>
      <c r="H377" s="1">
        <f>Tabela1[[#This Row],[PESO UND]]/1000*(1129)</f>
        <v>3314.8456100000003</v>
      </c>
      <c r="I377" s="1"/>
    </row>
    <row r="378" spans="1:9" x14ac:dyDescent="0.25">
      <c r="A378">
        <v>650</v>
      </c>
      <c r="B378" t="s">
        <v>365</v>
      </c>
      <c r="C378" t="str">
        <f t="shared" si="5"/>
        <v>30M²</v>
      </c>
      <c r="D378" s="2">
        <v>744.1</v>
      </c>
      <c r="E378" s="1">
        <v>4578.12</v>
      </c>
      <c r="F378" s="1">
        <f>Tabela1[[#This Row],[PR.CUSTO+FRETE]]-Tabela1[[#This Row],[FRETE]]</f>
        <v>3738.0311000000002</v>
      </c>
      <c r="G378" s="1">
        <v>8108.97</v>
      </c>
      <c r="H378" s="1">
        <f>Tabela1[[#This Row],[PESO UND]]/1000*(1129)</f>
        <v>840.08889999999997</v>
      </c>
      <c r="I378" s="1"/>
    </row>
    <row r="379" spans="1:9" x14ac:dyDescent="0.25">
      <c r="A379">
        <v>649</v>
      </c>
      <c r="B379" t="s">
        <v>366</v>
      </c>
      <c r="C379" t="str">
        <f t="shared" si="5"/>
        <v>30M²</v>
      </c>
      <c r="D379" s="2">
        <v>205.7</v>
      </c>
      <c r="E379" s="1">
        <v>1576.88</v>
      </c>
      <c r="F379" s="1">
        <f>Tabela1[[#This Row],[PR.CUSTO+FRETE]]-Tabela1[[#This Row],[FRETE]]</f>
        <v>1344.6447000000001</v>
      </c>
      <c r="G379" s="1">
        <v>2716.29</v>
      </c>
      <c r="H379" s="1">
        <f>Tabela1[[#This Row],[PESO UND]]/1000*(1129)</f>
        <v>232.2353</v>
      </c>
      <c r="I379" s="1"/>
    </row>
    <row r="380" spans="1:9" x14ac:dyDescent="0.25">
      <c r="A380">
        <v>648</v>
      </c>
      <c r="B380" t="s">
        <v>367</v>
      </c>
      <c r="C380" t="str">
        <f t="shared" si="5"/>
        <v>30M²</v>
      </c>
      <c r="D380" s="2">
        <v>970</v>
      </c>
      <c r="E380" s="1">
        <v>5227.17</v>
      </c>
      <c r="F380" s="1">
        <f>Tabela1[[#This Row],[PR.CUSTO+FRETE]]-Tabela1[[#This Row],[FRETE]]</f>
        <v>4132.04</v>
      </c>
      <c r="G380" s="1">
        <v>8828.33</v>
      </c>
      <c r="H380" s="1">
        <f>Tabela1[[#This Row],[PESO UND]]/1000*(1129)</f>
        <v>1095.1299999999999</v>
      </c>
      <c r="I380" s="1"/>
    </row>
    <row r="381" spans="1:9" x14ac:dyDescent="0.25">
      <c r="A381">
        <v>647</v>
      </c>
      <c r="B381" t="s">
        <v>368</v>
      </c>
      <c r="C381" t="str">
        <f t="shared" si="5"/>
        <v>30M²</v>
      </c>
      <c r="D381" s="2">
        <v>30</v>
      </c>
      <c r="E381" s="1">
        <v>1309.6300000000001</v>
      </c>
      <c r="F381" s="1">
        <f>Tabela1[[#This Row],[PR.CUSTO+FRETE]]-Tabela1[[#This Row],[FRETE]]</f>
        <v>1275.7600000000002</v>
      </c>
      <c r="G381" s="1">
        <v>2013.93</v>
      </c>
      <c r="H381" s="1">
        <f>Tabela1[[#This Row],[PESO UND]]/1000*(1129)</f>
        <v>33.869999999999997</v>
      </c>
      <c r="I381" s="1"/>
    </row>
    <row r="382" spans="1:9" x14ac:dyDescent="0.25">
      <c r="A382">
        <v>646</v>
      </c>
      <c r="B382" t="s">
        <v>369</v>
      </c>
      <c r="C382" t="str">
        <f t="shared" si="5"/>
        <v>30M²</v>
      </c>
      <c r="D382" s="2">
        <v>249.9</v>
      </c>
      <c r="E382" s="1">
        <v>5344.49</v>
      </c>
      <c r="F382" s="1">
        <f>Tabela1[[#This Row],[PR.CUSTO+FRETE]]-Tabela1[[#This Row],[FRETE]]</f>
        <v>5062.3528999999999</v>
      </c>
      <c r="G382" s="1">
        <v>7934.25</v>
      </c>
      <c r="H382" s="1">
        <f>Tabela1[[#This Row],[PESO UND]]/1000*(1129)</f>
        <v>282.13710000000003</v>
      </c>
      <c r="I382" s="1"/>
    </row>
    <row r="383" spans="1:9" x14ac:dyDescent="0.25">
      <c r="A383">
        <v>645</v>
      </c>
      <c r="B383" t="s">
        <v>370</v>
      </c>
      <c r="C383" t="str">
        <f t="shared" si="5"/>
        <v>30M²</v>
      </c>
      <c r="D383" s="2">
        <v>249.9</v>
      </c>
      <c r="E383" s="1">
        <v>5168.24</v>
      </c>
      <c r="F383" s="1">
        <f>Tabela1[[#This Row],[PR.CUSTO+FRETE]]-Tabela1[[#This Row],[FRETE]]</f>
        <v>4886.1028999999999</v>
      </c>
      <c r="G383" s="1">
        <v>7656.01</v>
      </c>
      <c r="H383" s="1">
        <f>Tabela1[[#This Row],[PESO UND]]/1000*(1129)</f>
        <v>282.13710000000003</v>
      </c>
      <c r="I383" s="1"/>
    </row>
    <row r="384" spans="1:9" x14ac:dyDescent="0.25">
      <c r="A384">
        <v>395</v>
      </c>
      <c r="B384" t="s">
        <v>944</v>
      </c>
      <c r="C384" t="str">
        <f t="shared" si="5"/>
        <v>36,0</v>
      </c>
      <c r="D384" s="2">
        <v>3854.27</v>
      </c>
      <c r="E384" s="1">
        <v>20818.21</v>
      </c>
      <c r="F384" s="1">
        <f>Tabela1[[#This Row],[PR.CUSTO+FRETE]]-Tabela1[[#This Row],[FRETE]]</f>
        <v>16466.739170000001</v>
      </c>
      <c r="G384" s="1">
        <v>33888.370000000003</v>
      </c>
      <c r="H384" s="1">
        <f>Tabela1[[#This Row],[PESO UND]]/1000*(1129)</f>
        <v>4351.4708300000002</v>
      </c>
      <c r="I384" s="1"/>
    </row>
    <row r="385" spans="1:9" x14ac:dyDescent="0.25">
      <c r="A385">
        <v>663</v>
      </c>
      <c r="B385" t="s">
        <v>371</v>
      </c>
      <c r="C385" t="str">
        <f t="shared" si="5"/>
        <v>36M²</v>
      </c>
      <c r="D385" s="2">
        <v>987.35</v>
      </c>
      <c r="E385" s="1">
        <v>5515.11</v>
      </c>
      <c r="F385" s="1">
        <f>Tabela1[[#This Row],[PR.CUSTO+FRETE]]-Tabela1[[#This Row],[FRETE]]</f>
        <v>4400.39185</v>
      </c>
      <c r="G385" s="1">
        <v>9572.84</v>
      </c>
      <c r="H385" s="1">
        <f>Tabela1[[#This Row],[PESO UND]]/1000*(1129)</f>
        <v>1114.7181500000002</v>
      </c>
      <c r="I385" s="1"/>
    </row>
    <row r="386" spans="1:9" x14ac:dyDescent="0.25">
      <c r="A386">
        <v>662</v>
      </c>
      <c r="B386" t="s">
        <v>372</v>
      </c>
      <c r="C386" t="str">
        <f t="shared" ref="C386:C449" si="6">IFERROR(MID(B386,FIND("(",B386)+1,4),"")</f>
        <v>36M²</v>
      </c>
      <c r="D386" s="2">
        <v>118.75</v>
      </c>
      <c r="E386" s="1">
        <v>918.6</v>
      </c>
      <c r="F386" s="1">
        <f>Tabela1[[#This Row],[PR.CUSTO+FRETE]]-Tabela1[[#This Row],[FRETE]]</f>
        <v>784.53125</v>
      </c>
      <c r="G386" s="1">
        <v>1579.13</v>
      </c>
      <c r="H386" s="1">
        <f>Tabela1[[#This Row],[PESO UND]]/1000*(1129)</f>
        <v>134.06874999999999</v>
      </c>
      <c r="I386" s="1"/>
    </row>
    <row r="387" spans="1:9" x14ac:dyDescent="0.25">
      <c r="A387">
        <v>661</v>
      </c>
      <c r="B387" t="s">
        <v>373</v>
      </c>
      <c r="C387" t="str">
        <f t="shared" si="6"/>
        <v>36M²</v>
      </c>
      <c r="D387" s="2">
        <v>1253</v>
      </c>
      <c r="E387" s="1">
        <v>6732.78</v>
      </c>
      <c r="F387" s="1">
        <f>Tabela1[[#This Row],[PR.CUSTO+FRETE]]-Tabela1[[#This Row],[FRETE]]</f>
        <v>5318.143</v>
      </c>
      <c r="G387" s="1">
        <v>11373.74</v>
      </c>
      <c r="H387" s="1">
        <f>Tabela1[[#This Row],[PESO UND]]/1000*(1129)</f>
        <v>1414.6369999999999</v>
      </c>
      <c r="I387" s="1"/>
    </row>
    <row r="388" spans="1:9" x14ac:dyDescent="0.25">
      <c r="A388">
        <v>660</v>
      </c>
      <c r="B388" t="s">
        <v>374</v>
      </c>
      <c r="C388" t="str">
        <f t="shared" si="6"/>
        <v>36M²</v>
      </c>
      <c r="D388" s="2">
        <v>41.25</v>
      </c>
      <c r="E388" s="1">
        <v>1800.74</v>
      </c>
      <c r="F388" s="1">
        <f>Tabela1[[#This Row],[PR.CUSTO+FRETE]]-Tabela1[[#This Row],[FRETE]]</f>
        <v>1754.16875</v>
      </c>
      <c r="G388" s="1">
        <v>2769.15</v>
      </c>
      <c r="H388" s="1">
        <f>Tabela1[[#This Row],[PESO UND]]/1000*(1129)</f>
        <v>46.571249999999999</v>
      </c>
      <c r="I388" s="1"/>
    </row>
    <row r="389" spans="1:9" x14ac:dyDescent="0.25">
      <c r="A389">
        <v>659</v>
      </c>
      <c r="B389" t="s">
        <v>375</v>
      </c>
      <c r="C389" t="str">
        <f t="shared" si="6"/>
        <v>36M²</v>
      </c>
      <c r="D389" s="2">
        <v>231.8</v>
      </c>
      <c r="E389" s="1">
        <v>4996.13</v>
      </c>
      <c r="F389" s="1">
        <f>Tabela1[[#This Row],[PR.CUSTO+FRETE]]-Tabela1[[#This Row],[FRETE]]</f>
        <v>4734.4278000000004</v>
      </c>
      <c r="G389" s="1">
        <v>7414.81</v>
      </c>
      <c r="H389" s="1">
        <f>Tabela1[[#This Row],[PESO UND]]/1000*(1129)</f>
        <v>261.7022</v>
      </c>
      <c r="I389" s="1"/>
    </row>
    <row r="390" spans="1:9" x14ac:dyDescent="0.25">
      <c r="A390">
        <v>658</v>
      </c>
      <c r="B390" t="s">
        <v>376</v>
      </c>
      <c r="C390" t="str">
        <f t="shared" si="6"/>
        <v>36M²</v>
      </c>
      <c r="D390" s="2">
        <v>231.8</v>
      </c>
      <c r="E390" s="1">
        <v>4833.34</v>
      </c>
      <c r="F390" s="1">
        <f>Tabela1[[#This Row],[PR.CUSTO+FRETE]]-Tabela1[[#This Row],[FRETE]]</f>
        <v>4571.6378000000004</v>
      </c>
      <c r="G390" s="1">
        <v>7157.84</v>
      </c>
      <c r="H390" s="1">
        <f>Tabela1[[#This Row],[PESO UND]]/1000*(1129)</f>
        <v>261.7022</v>
      </c>
      <c r="I390" s="1"/>
    </row>
    <row r="391" spans="1:9" x14ac:dyDescent="0.25">
      <c r="A391">
        <v>987</v>
      </c>
      <c r="B391" t="s">
        <v>945</v>
      </c>
      <c r="C391" t="str">
        <f t="shared" si="6"/>
        <v>42,0</v>
      </c>
      <c r="D391" s="2">
        <v>3096.94</v>
      </c>
      <c r="E391" s="1">
        <v>17200.580000000002</v>
      </c>
      <c r="F391" s="1">
        <f>Tabela1[[#This Row],[PR.CUSTO+FRETE]]-Tabela1[[#This Row],[FRETE]]</f>
        <v>13704.134740000001</v>
      </c>
      <c r="G391" s="1">
        <v>27793.95</v>
      </c>
      <c r="H391" s="1">
        <f>Tabela1[[#This Row],[PESO UND]]/1000*(1129)</f>
        <v>3496.44526</v>
      </c>
      <c r="I391" s="1"/>
    </row>
    <row r="392" spans="1:9" x14ac:dyDescent="0.25">
      <c r="A392">
        <v>993</v>
      </c>
      <c r="B392" t="s">
        <v>377</v>
      </c>
      <c r="C392" t="str">
        <f t="shared" si="6"/>
        <v>42M²</v>
      </c>
      <c r="D392" s="2">
        <v>1046.3499999999999</v>
      </c>
      <c r="E392" s="1">
        <v>5915.8</v>
      </c>
      <c r="F392" s="1">
        <f>Tabela1[[#This Row],[PR.CUSTO+FRETE]]-Tabela1[[#This Row],[FRETE]]</f>
        <v>4734.4708500000006</v>
      </c>
      <c r="G392" s="1">
        <v>10235.11</v>
      </c>
      <c r="H392" s="1">
        <f>Tabela1[[#This Row],[PESO UND]]/1000*(1129)</f>
        <v>1181.3291499999998</v>
      </c>
      <c r="I392" s="1"/>
    </row>
    <row r="393" spans="1:9" x14ac:dyDescent="0.25">
      <c r="A393">
        <v>992</v>
      </c>
      <c r="B393" t="s">
        <v>378</v>
      </c>
      <c r="C393" t="str">
        <f t="shared" si="6"/>
        <v>42M²</v>
      </c>
      <c r="D393" s="2">
        <v>323.05</v>
      </c>
      <c r="E393" s="1">
        <v>2629.72</v>
      </c>
      <c r="F393" s="1">
        <f>Tabela1[[#This Row],[PR.CUSTO+FRETE]]-Tabela1[[#This Row],[FRETE]]</f>
        <v>2264.9965499999998</v>
      </c>
      <c r="G393" s="1">
        <v>4487.6400000000003</v>
      </c>
      <c r="H393" s="1">
        <f>Tabela1[[#This Row],[PESO UND]]/1000*(1129)</f>
        <v>364.72345000000001</v>
      </c>
      <c r="I393" s="1"/>
    </row>
    <row r="394" spans="1:9" x14ac:dyDescent="0.25">
      <c r="A394">
        <v>991</v>
      </c>
      <c r="B394" t="s">
        <v>379</v>
      </c>
      <c r="C394" t="str">
        <f t="shared" si="6"/>
        <v>42M²</v>
      </c>
      <c r="D394" s="2">
        <v>778</v>
      </c>
      <c r="E394" s="1">
        <v>4284.6499999999996</v>
      </c>
      <c r="F394" s="1">
        <f>Tabela1[[#This Row],[PR.CUSTO+FRETE]]-Tabela1[[#This Row],[FRETE]]</f>
        <v>3406.2879999999996</v>
      </c>
      <c r="G394" s="1">
        <v>7224.4</v>
      </c>
      <c r="H394" s="1">
        <f>Tabela1[[#This Row],[PESO UND]]/1000*(1129)</f>
        <v>878.36200000000008</v>
      </c>
      <c r="I394" s="1"/>
    </row>
    <row r="395" spans="1:9" x14ac:dyDescent="0.25">
      <c r="A395">
        <v>990</v>
      </c>
      <c r="B395" t="s">
        <v>380</v>
      </c>
      <c r="C395" t="str">
        <f t="shared" si="6"/>
        <v>42M²</v>
      </c>
      <c r="D395" s="2">
        <v>26.25</v>
      </c>
      <c r="E395" s="1">
        <v>1145.93</v>
      </c>
      <c r="F395" s="1">
        <f>Tabela1[[#This Row],[PR.CUSTO+FRETE]]-Tabela1[[#This Row],[FRETE]]</f>
        <v>1116.29375</v>
      </c>
      <c r="G395" s="1">
        <v>1762.19</v>
      </c>
      <c r="H395" s="1">
        <f>Tabela1[[#This Row],[PESO UND]]/1000*(1129)</f>
        <v>29.63625</v>
      </c>
      <c r="I395" s="1"/>
    </row>
    <row r="396" spans="1:9" x14ac:dyDescent="0.25">
      <c r="A396">
        <v>989</v>
      </c>
      <c r="B396" t="s">
        <v>381</v>
      </c>
      <c r="C396" t="str">
        <f t="shared" si="6"/>
        <v>42M²</v>
      </c>
      <c r="D396" s="2">
        <v>363.1</v>
      </c>
      <c r="E396" s="1">
        <v>6852.98</v>
      </c>
      <c r="F396" s="1">
        <f>Tabela1[[#This Row],[PR.CUSTO+FRETE]]-Tabela1[[#This Row],[FRETE]]</f>
        <v>6443.0400999999993</v>
      </c>
      <c r="G396" s="1">
        <v>10170.799999999999</v>
      </c>
      <c r="H396" s="1">
        <f>Tabela1[[#This Row],[PESO UND]]/1000*(1129)</f>
        <v>409.93990000000002</v>
      </c>
      <c r="I396" s="1"/>
    </row>
    <row r="397" spans="1:9" x14ac:dyDescent="0.25">
      <c r="A397">
        <v>988</v>
      </c>
      <c r="B397" t="s">
        <v>382</v>
      </c>
      <c r="C397" t="str">
        <f t="shared" si="6"/>
        <v>42M²</v>
      </c>
      <c r="D397" s="2">
        <v>363.1</v>
      </c>
      <c r="E397" s="1">
        <v>6623.02</v>
      </c>
      <c r="F397" s="1">
        <f>Tabela1[[#This Row],[PR.CUSTO+FRETE]]-Tabela1[[#This Row],[FRETE]]</f>
        <v>6213.0801000000001</v>
      </c>
      <c r="G397" s="1">
        <v>9807.7800000000007</v>
      </c>
      <c r="H397" s="1">
        <f>Tabela1[[#This Row],[PESO UND]]/1000*(1129)</f>
        <v>409.93990000000002</v>
      </c>
      <c r="I397" s="1"/>
    </row>
    <row r="398" spans="1:9" x14ac:dyDescent="0.25">
      <c r="A398">
        <v>669</v>
      </c>
      <c r="B398" t="s">
        <v>383</v>
      </c>
      <c r="C398" t="str">
        <f t="shared" si="6"/>
        <v>60,2</v>
      </c>
      <c r="D398" s="2">
        <v>982.15</v>
      </c>
      <c r="E398" s="1">
        <v>6082.63</v>
      </c>
      <c r="F398" s="1">
        <f>Tabela1[[#This Row],[PR.CUSTO+FRETE]]-Tabela1[[#This Row],[FRETE]]</f>
        <v>4973.7826500000001</v>
      </c>
      <c r="G398" s="1">
        <v>10763.96</v>
      </c>
      <c r="H398" s="1">
        <f>Tabela1[[#This Row],[PESO UND]]/1000*(1129)</f>
        <v>1108.84735</v>
      </c>
      <c r="I398" s="1"/>
    </row>
    <row r="399" spans="1:9" x14ac:dyDescent="0.25">
      <c r="A399">
        <v>668</v>
      </c>
      <c r="B399" t="s">
        <v>384</v>
      </c>
      <c r="C399" t="str">
        <f t="shared" si="6"/>
        <v>60,2</v>
      </c>
      <c r="D399" s="2">
        <v>345.25</v>
      </c>
      <c r="E399" s="1">
        <v>2619.11</v>
      </c>
      <c r="F399" s="1">
        <f>Tabela1[[#This Row],[PR.CUSTO+FRETE]]-Tabela1[[#This Row],[FRETE]]</f>
        <v>2229.3227500000003</v>
      </c>
      <c r="G399" s="1">
        <v>4516.78</v>
      </c>
      <c r="H399" s="1">
        <f>Tabela1[[#This Row],[PESO UND]]/1000*(1129)</f>
        <v>389.78725000000003</v>
      </c>
      <c r="I399" s="1"/>
    </row>
    <row r="400" spans="1:9" x14ac:dyDescent="0.25">
      <c r="A400">
        <v>667</v>
      </c>
      <c r="B400" t="s">
        <v>385</v>
      </c>
      <c r="C400" t="str">
        <f t="shared" si="6"/>
        <v>60,2</v>
      </c>
      <c r="D400" s="2">
        <v>1446</v>
      </c>
      <c r="E400" s="1">
        <v>7796.57</v>
      </c>
      <c r="F400" s="1">
        <f>Tabela1[[#This Row],[PR.CUSTO+FRETE]]-Tabela1[[#This Row],[FRETE]]</f>
        <v>6164.0360000000001</v>
      </c>
      <c r="G400" s="1">
        <v>13167.31</v>
      </c>
      <c r="H400" s="1">
        <f>Tabela1[[#This Row],[PESO UND]]/1000*(1129)</f>
        <v>1632.5339999999999</v>
      </c>
      <c r="I400" s="1"/>
    </row>
    <row r="401" spans="1:9" x14ac:dyDescent="0.25">
      <c r="A401">
        <v>280</v>
      </c>
      <c r="B401" t="s">
        <v>386</v>
      </c>
      <c r="C401" t="str">
        <f t="shared" si="6"/>
        <v>60,2</v>
      </c>
      <c r="D401" s="2">
        <v>4545.1400000000003</v>
      </c>
      <c r="E401" s="1">
        <v>24091.26</v>
      </c>
      <c r="F401" s="1">
        <f>Tabela1[[#This Row],[PR.CUSTO+FRETE]]-Tabela1[[#This Row],[FRETE]]</f>
        <v>18959.79694</v>
      </c>
      <c r="G401" s="1">
        <v>39038.94</v>
      </c>
      <c r="H401" s="1">
        <f>Tabela1[[#This Row],[PESO UND]]/1000*(1129)</f>
        <v>5131.46306</v>
      </c>
      <c r="I401" s="1"/>
    </row>
    <row r="402" spans="1:9" x14ac:dyDescent="0.25">
      <c r="A402">
        <v>666</v>
      </c>
      <c r="B402" t="s">
        <v>387</v>
      </c>
      <c r="C402" t="str">
        <f t="shared" si="6"/>
        <v>60,2</v>
      </c>
      <c r="D402" s="2">
        <v>48.75</v>
      </c>
      <c r="E402" s="1">
        <v>2128.15</v>
      </c>
      <c r="F402" s="1">
        <f>Tabela1[[#This Row],[PR.CUSTO+FRETE]]-Tabela1[[#This Row],[FRETE]]</f>
        <v>2073.1112499999999</v>
      </c>
      <c r="G402" s="1">
        <v>3272.63</v>
      </c>
      <c r="H402" s="1">
        <f>Tabela1[[#This Row],[PESO UND]]/1000*(1129)</f>
        <v>55.03875</v>
      </c>
      <c r="I402" s="1"/>
    </row>
    <row r="403" spans="1:9" x14ac:dyDescent="0.25">
      <c r="A403">
        <v>665</v>
      </c>
      <c r="B403" t="s">
        <v>388</v>
      </c>
      <c r="C403" t="str">
        <f t="shared" si="6"/>
        <v>60,2</v>
      </c>
      <c r="D403" s="2">
        <v>405.4</v>
      </c>
      <c r="E403" s="1">
        <v>8551.52</v>
      </c>
      <c r="F403" s="1">
        <f>Tabela1[[#This Row],[PR.CUSTO+FRETE]]-Tabela1[[#This Row],[FRETE]]</f>
        <v>8093.8234000000002</v>
      </c>
      <c r="G403" s="1">
        <v>12687.54</v>
      </c>
      <c r="H403" s="1">
        <f>Tabela1[[#This Row],[PESO UND]]/1000*(1129)</f>
        <v>457.69659999999999</v>
      </c>
      <c r="I403" s="1"/>
    </row>
    <row r="404" spans="1:9" x14ac:dyDescent="0.25">
      <c r="A404">
        <v>664</v>
      </c>
      <c r="B404" t="s">
        <v>389</v>
      </c>
      <c r="C404" t="str">
        <f t="shared" si="6"/>
        <v>60,2</v>
      </c>
      <c r="D404" s="2">
        <v>405.4</v>
      </c>
      <c r="E404" s="1">
        <v>8265.86</v>
      </c>
      <c r="F404" s="1">
        <f>Tabela1[[#This Row],[PR.CUSTO+FRETE]]-Tabela1[[#This Row],[FRETE]]</f>
        <v>7808.1634000000004</v>
      </c>
      <c r="G404" s="1">
        <v>12236.61</v>
      </c>
      <c r="H404" s="1">
        <f>Tabela1[[#This Row],[PESO UND]]/1000*(1129)</f>
        <v>457.69659999999999</v>
      </c>
      <c r="I404" s="1"/>
    </row>
    <row r="405" spans="1:9" x14ac:dyDescent="0.25">
      <c r="A405">
        <v>651</v>
      </c>
      <c r="B405" t="s">
        <v>390</v>
      </c>
      <c r="C405" t="str">
        <f t="shared" si="6"/>
        <v>68,3</v>
      </c>
      <c r="D405" s="2">
        <v>5207.6000000000004</v>
      </c>
      <c r="E405" s="1">
        <v>28497.01</v>
      </c>
      <c r="F405" s="1">
        <f>Tabela1[[#This Row],[PR.CUSTO+FRETE]]-Tabela1[[#This Row],[FRETE]]</f>
        <v>22617.6296</v>
      </c>
      <c r="G405" s="1">
        <v>46390.33</v>
      </c>
      <c r="H405" s="1">
        <f>Tabela1[[#This Row],[PESO UND]]/1000*(1129)</f>
        <v>5879.3804</v>
      </c>
      <c r="I405" s="1"/>
    </row>
    <row r="406" spans="1:9" x14ac:dyDescent="0.25">
      <c r="A406">
        <v>657</v>
      </c>
      <c r="B406" t="s">
        <v>391</v>
      </c>
      <c r="C406" t="str">
        <f t="shared" si="6"/>
        <v>68,3</v>
      </c>
      <c r="D406" s="2">
        <v>1403.5</v>
      </c>
      <c r="E406" s="1">
        <v>8747.48</v>
      </c>
      <c r="F406" s="1">
        <f>Tabela1[[#This Row],[PR.CUSTO+FRETE]]-Tabela1[[#This Row],[FRETE]]</f>
        <v>7162.9285</v>
      </c>
      <c r="G406" s="1">
        <v>15601.61</v>
      </c>
      <c r="H406" s="1">
        <f>Tabela1[[#This Row],[PESO UND]]/1000*(1129)</f>
        <v>1584.5515</v>
      </c>
      <c r="I406" s="1"/>
    </row>
    <row r="407" spans="1:9" x14ac:dyDescent="0.25">
      <c r="A407">
        <v>656</v>
      </c>
      <c r="B407" t="s">
        <v>392</v>
      </c>
      <c r="C407" t="str">
        <f t="shared" si="6"/>
        <v>68,3</v>
      </c>
      <c r="D407" s="2">
        <v>465.45</v>
      </c>
      <c r="E407" s="1">
        <v>3404.92</v>
      </c>
      <c r="F407" s="1">
        <f>Tabela1[[#This Row],[PR.CUSTO+FRETE]]-Tabela1[[#This Row],[FRETE]]</f>
        <v>2879.42695</v>
      </c>
      <c r="G407" s="1">
        <v>5899.51</v>
      </c>
      <c r="H407" s="1">
        <f>Tabela1[[#This Row],[PESO UND]]/1000*(1129)</f>
        <v>525.49304999999993</v>
      </c>
      <c r="I407" s="1"/>
    </row>
    <row r="408" spans="1:9" x14ac:dyDescent="0.25">
      <c r="A408">
        <v>655</v>
      </c>
      <c r="B408" t="s">
        <v>393</v>
      </c>
      <c r="C408" t="str">
        <f t="shared" si="6"/>
        <v>68,3</v>
      </c>
      <c r="D408" s="2">
        <v>1831</v>
      </c>
      <c r="E408" s="1">
        <v>9802.9</v>
      </c>
      <c r="F408" s="1">
        <f>Tabela1[[#This Row],[PR.CUSTO+FRETE]]-Tabela1[[#This Row],[FRETE]]</f>
        <v>7735.7009999999991</v>
      </c>
      <c r="G408" s="1">
        <v>16564.810000000001</v>
      </c>
      <c r="H408" s="1">
        <f>Tabela1[[#This Row],[PESO UND]]/1000*(1129)</f>
        <v>2067.1990000000001</v>
      </c>
      <c r="I408" s="1"/>
    </row>
    <row r="409" spans="1:9" x14ac:dyDescent="0.25">
      <c r="A409">
        <v>654</v>
      </c>
      <c r="B409" t="s">
        <v>394</v>
      </c>
      <c r="C409" t="str">
        <f t="shared" si="6"/>
        <v>68,3</v>
      </c>
      <c r="D409" s="2">
        <v>60</v>
      </c>
      <c r="E409" s="1">
        <v>2619.2600000000002</v>
      </c>
      <c r="F409" s="1">
        <f>Tabela1[[#This Row],[PR.CUSTO+FRETE]]-Tabela1[[#This Row],[FRETE]]</f>
        <v>2551.5200000000004</v>
      </c>
      <c r="G409" s="1">
        <v>4027.86</v>
      </c>
      <c r="H409" s="1">
        <f>Tabela1[[#This Row],[PESO UND]]/1000*(1129)</f>
        <v>67.739999999999995</v>
      </c>
      <c r="I409" s="1"/>
    </row>
    <row r="410" spans="1:9" x14ac:dyDescent="0.25">
      <c r="A410">
        <v>653</v>
      </c>
      <c r="B410" t="s">
        <v>395</v>
      </c>
      <c r="C410" t="str">
        <f t="shared" si="6"/>
        <v>68,3</v>
      </c>
      <c r="D410" s="2">
        <v>481.5</v>
      </c>
      <c r="E410" s="1">
        <v>10246.39</v>
      </c>
      <c r="F410" s="1">
        <f>Tabela1[[#This Row],[PR.CUSTO+FRETE]]-Tabela1[[#This Row],[FRETE]]</f>
        <v>9702.7764999999999</v>
      </c>
      <c r="G410" s="1">
        <v>15206.93</v>
      </c>
      <c r="H410" s="1">
        <f>Tabela1[[#This Row],[PESO UND]]/1000*(1129)</f>
        <v>543.61349999999993</v>
      </c>
      <c r="I410" s="1"/>
    </row>
    <row r="411" spans="1:9" x14ac:dyDescent="0.25">
      <c r="A411">
        <v>652</v>
      </c>
      <c r="B411" t="s">
        <v>396</v>
      </c>
      <c r="C411" t="str">
        <f t="shared" si="6"/>
        <v>68,3</v>
      </c>
      <c r="D411" s="2">
        <v>481.5</v>
      </c>
      <c r="E411" s="1">
        <v>9906.7199999999993</v>
      </c>
      <c r="F411" s="1">
        <f>Tabela1[[#This Row],[PR.CUSTO+FRETE]]-Tabela1[[#This Row],[FRETE]]</f>
        <v>9363.1064999999999</v>
      </c>
      <c r="G411" s="1">
        <v>14670.75</v>
      </c>
      <c r="H411" s="1">
        <f>Tabela1[[#This Row],[PESO UND]]/1000*(1129)</f>
        <v>543.61349999999993</v>
      </c>
      <c r="I411" s="1"/>
    </row>
    <row r="412" spans="1:9" x14ac:dyDescent="0.25">
      <c r="A412">
        <v>1002</v>
      </c>
      <c r="B412" t="s">
        <v>397</v>
      </c>
      <c r="C412" t="str">
        <f t="shared" si="6"/>
        <v>70,2</v>
      </c>
      <c r="D412" s="2">
        <v>5802.09</v>
      </c>
      <c r="E412" s="1">
        <v>32023.85</v>
      </c>
      <c r="F412" s="1">
        <f>Tabela1[[#This Row],[PR.CUSTO+FRETE]]-Tabela1[[#This Row],[FRETE]]</f>
        <v>25473.290389999998</v>
      </c>
      <c r="G412" s="1">
        <v>52856.67</v>
      </c>
      <c r="H412" s="1">
        <f>Tabela1[[#This Row],[PESO UND]]/1000*(1129)</f>
        <v>6550.5596099999993</v>
      </c>
      <c r="I412" s="1"/>
    </row>
    <row r="413" spans="1:9" x14ac:dyDescent="0.25">
      <c r="A413">
        <v>1008</v>
      </c>
      <c r="B413" t="s">
        <v>398</v>
      </c>
      <c r="C413" t="str">
        <f t="shared" si="6"/>
        <v>70,2</v>
      </c>
      <c r="D413" s="2">
        <v>1125.25</v>
      </c>
      <c r="E413" s="1">
        <v>6656.14</v>
      </c>
      <c r="F413" s="1">
        <f>Tabela1[[#This Row],[PR.CUSTO+FRETE]]-Tabela1[[#This Row],[FRETE]]</f>
        <v>5385.7327500000001</v>
      </c>
      <c r="G413" s="1">
        <v>11674.4</v>
      </c>
      <c r="H413" s="1">
        <f>Tabela1[[#This Row],[PESO UND]]/1000*(1129)</f>
        <v>1270.4072500000002</v>
      </c>
      <c r="I413" s="1"/>
    </row>
    <row r="414" spans="1:9" x14ac:dyDescent="0.25">
      <c r="A414">
        <v>1007</v>
      </c>
      <c r="B414" t="s">
        <v>399</v>
      </c>
      <c r="C414" t="str">
        <f t="shared" si="6"/>
        <v>70,2</v>
      </c>
      <c r="D414" s="2">
        <v>2061</v>
      </c>
      <c r="E414" s="1">
        <v>11164.69</v>
      </c>
      <c r="F414" s="1">
        <f>Tabela1[[#This Row],[PR.CUSTO+FRETE]]-Tabela1[[#This Row],[FRETE]]</f>
        <v>8837.8209999999999</v>
      </c>
      <c r="G414" s="1">
        <v>18848.759999999998</v>
      </c>
      <c r="H414" s="1">
        <f>Tabela1[[#This Row],[PESO UND]]/1000*(1129)</f>
        <v>2326.8690000000001</v>
      </c>
      <c r="I414" s="1"/>
    </row>
    <row r="415" spans="1:9" x14ac:dyDescent="0.25">
      <c r="A415">
        <v>1006</v>
      </c>
      <c r="B415" t="s">
        <v>400</v>
      </c>
      <c r="C415" t="str">
        <f t="shared" si="6"/>
        <v>70,2</v>
      </c>
      <c r="D415" s="2">
        <v>71.25</v>
      </c>
      <c r="E415" s="1">
        <v>3110.37</v>
      </c>
      <c r="F415" s="1">
        <f>Tabela1[[#This Row],[PR.CUSTO+FRETE]]-Tabela1[[#This Row],[FRETE]]</f>
        <v>3029.92875</v>
      </c>
      <c r="G415" s="1">
        <v>4783.08</v>
      </c>
      <c r="H415" s="1">
        <f>Tabela1[[#This Row],[PESO UND]]/1000*(1129)</f>
        <v>80.441249999999997</v>
      </c>
      <c r="I415" s="1"/>
    </row>
    <row r="416" spans="1:9" x14ac:dyDescent="0.25">
      <c r="A416">
        <v>1005</v>
      </c>
      <c r="B416" t="s">
        <v>401</v>
      </c>
      <c r="C416" t="str">
        <f t="shared" si="6"/>
        <v>70,2</v>
      </c>
      <c r="D416" s="2">
        <v>49</v>
      </c>
      <c r="E416" s="1">
        <v>7242.67</v>
      </c>
      <c r="F416" s="1">
        <f>Tabela1[[#This Row],[PR.CUSTO+FRETE]]-Tabela1[[#This Row],[FRETE]]</f>
        <v>7187.3490000000002</v>
      </c>
      <c r="G416" s="1">
        <v>11345.74</v>
      </c>
      <c r="H416" s="1">
        <f>Tabela1[[#This Row],[PESO UND]]/1000*(1129)</f>
        <v>55.321000000000005</v>
      </c>
      <c r="I416" s="1"/>
    </row>
    <row r="417" spans="1:9" x14ac:dyDescent="0.25">
      <c r="A417">
        <v>1004</v>
      </c>
      <c r="B417" t="s">
        <v>402</v>
      </c>
      <c r="C417" t="str">
        <f t="shared" si="6"/>
        <v>70,2</v>
      </c>
      <c r="D417" s="2">
        <v>506.2</v>
      </c>
      <c r="E417" s="1">
        <v>9502.36</v>
      </c>
      <c r="F417" s="1">
        <f>Tabela1[[#This Row],[PR.CUSTO+FRETE]]-Tabela1[[#This Row],[FRETE]]</f>
        <v>8930.860200000001</v>
      </c>
      <c r="G417" s="1">
        <v>14097.98</v>
      </c>
      <c r="H417" s="1">
        <f>Tabela1[[#This Row],[PESO UND]]/1000*(1129)</f>
        <v>571.49979999999994</v>
      </c>
      <c r="I417" s="1"/>
    </row>
    <row r="418" spans="1:9" x14ac:dyDescent="0.25">
      <c r="A418">
        <v>1003</v>
      </c>
      <c r="B418" t="s">
        <v>403</v>
      </c>
      <c r="C418" t="str">
        <f t="shared" si="6"/>
        <v>70,2</v>
      </c>
      <c r="D418" s="2">
        <v>506.2</v>
      </c>
      <c r="E418" s="1">
        <v>9180.1200000000008</v>
      </c>
      <c r="F418" s="1">
        <f>Tabela1[[#This Row],[PR.CUSTO+FRETE]]-Tabela1[[#This Row],[FRETE]]</f>
        <v>8608.6202000000012</v>
      </c>
      <c r="G418" s="1">
        <v>13589.33</v>
      </c>
      <c r="H418" s="1">
        <f>Tabela1[[#This Row],[PESO UND]]/1000*(1129)</f>
        <v>571.49979999999994</v>
      </c>
      <c r="I418" s="1"/>
    </row>
    <row r="419" spans="1:9" x14ac:dyDescent="0.25">
      <c r="A419">
        <v>1020</v>
      </c>
      <c r="B419" t="s">
        <v>404</v>
      </c>
      <c r="C419" t="str">
        <f t="shared" si="6"/>
        <v>36,0</v>
      </c>
      <c r="D419" s="2">
        <v>3619.87</v>
      </c>
      <c r="E419" s="1">
        <v>17976.37</v>
      </c>
      <c r="F419" s="1">
        <f>Tabela1[[#This Row],[PR.CUSTO+FRETE]]-Tabela1[[#This Row],[FRETE]]</f>
        <v>13889.536769999999</v>
      </c>
      <c r="G419" s="1">
        <v>29870.03</v>
      </c>
      <c r="H419" s="1">
        <f>Tabela1[[#This Row],[PESO UND]]/1000*(1129)</f>
        <v>4086.8332299999997</v>
      </c>
      <c r="I419" s="1"/>
    </row>
    <row r="420" spans="1:9" x14ac:dyDescent="0.25">
      <c r="A420">
        <v>1026</v>
      </c>
      <c r="B420" t="s">
        <v>405</v>
      </c>
      <c r="C420" t="str">
        <f t="shared" si="6"/>
        <v>36,0</v>
      </c>
      <c r="D420" s="2">
        <v>573.04999999999995</v>
      </c>
      <c r="E420" s="1">
        <v>3582.61</v>
      </c>
      <c r="F420" s="1">
        <f>Tabela1[[#This Row],[PR.CUSTO+FRETE]]-Tabela1[[#This Row],[FRETE]]</f>
        <v>2935.6365500000002</v>
      </c>
      <c r="G420" s="1">
        <v>6335.77</v>
      </c>
      <c r="H420" s="1">
        <f>Tabela1[[#This Row],[PESO UND]]/1000*(1129)</f>
        <v>646.97344999999996</v>
      </c>
      <c r="I420" s="1"/>
    </row>
    <row r="421" spans="1:9" x14ac:dyDescent="0.25">
      <c r="A421">
        <v>1025</v>
      </c>
      <c r="B421" t="s">
        <v>406</v>
      </c>
      <c r="C421" t="str">
        <f t="shared" si="6"/>
        <v>36,0</v>
      </c>
      <c r="D421" s="2">
        <v>134.94999999999999</v>
      </c>
      <c r="E421" s="1">
        <v>1086.18</v>
      </c>
      <c r="F421" s="1">
        <f>Tabela1[[#This Row],[PR.CUSTO+FRETE]]-Tabela1[[#This Row],[FRETE]]</f>
        <v>933.82145000000014</v>
      </c>
      <c r="G421" s="1">
        <v>1855.1</v>
      </c>
      <c r="H421" s="1">
        <f>Tabela1[[#This Row],[PESO UND]]/1000*(1129)</f>
        <v>152.35854999999998</v>
      </c>
      <c r="I421" s="1"/>
    </row>
    <row r="422" spans="1:9" x14ac:dyDescent="0.25">
      <c r="A422">
        <v>1024</v>
      </c>
      <c r="B422" t="s">
        <v>407</v>
      </c>
      <c r="C422" t="str">
        <f t="shared" si="6"/>
        <v>36,0</v>
      </c>
      <c r="D422" s="2">
        <v>1200</v>
      </c>
      <c r="E422" s="1">
        <v>6588.96</v>
      </c>
      <c r="F422" s="1">
        <f>Tabela1[[#This Row],[PR.CUSTO+FRETE]]-Tabela1[[#This Row],[FRETE]]</f>
        <v>5234.16</v>
      </c>
      <c r="G422" s="1">
        <v>11112.28</v>
      </c>
      <c r="H422" s="1">
        <f>Tabela1[[#This Row],[PESO UND]]/1000*(1129)</f>
        <v>1354.8</v>
      </c>
      <c r="I422" s="1"/>
    </row>
    <row r="423" spans="1:9" x14ac:dyDescent="0.25">
      <c r="A423">
        <v>1022</v>
      </c>
      <c r="B423" t="s">
        <v>408</v>
      </c>
      <c r="C423" t="str">
        <f t="shared" si="6"/>
        <v>36.0</v>
      </c>
      <c r="D423" s="2">
        <v>179.8</v>
      </c>
      <c r="E423" s="1">
        <v>3767.2</v>
      </c>
      <c r="F423" s="1">
        <f>Tabela1[[#This Row],[PR.CUSTO+FRETE]]-Tabela1[[#This Row],[FRETE]]</f>
        <v>3564.2057999999997</v>
      </c>
      <c r="G423" s="1">
        <v>5590.73</v>
      </c>
      <c r="H423" s="1">
        <f>Tabela1[[#This Row],[PESO UND]]/1000*(1129)</f>
        <v>202.99420000000001</v>
      </c>
      <c r="I423" s="1"/>
    </row>
    <row r="424" spans="1:9" x14ac:dyDescent="0.25">
      <c r="A424">
        <v>1023</v>
      </c>
      <c r="B424" t="s">
        <v>409</v>
      </c>
      <c r="C424" t="str">
        <f t="shared" si="6"/>
        <v>36.0</v>
      </c>
      <c r="D424" s="2">
        <v>37.5</v>
      </c>
      <c r="E424" s="1">
        <v>1637.04</v>
      </c>
      <c r="F424" s="1">
        <f>Tabela1[[#This Row],[PR.CUSTO+FRETE]]-Tabela1[[#This Row],[FRETE]]</f>
        <v>1594.7024999999999</v>
      </c>
      <c r="G424" s="1">
        <v>2517.41</v>
      </c>
      <c r="H424" s="1">
        <f>Tabela1[[#This Row],[PESO UND]]/1000*(1129)</f>
        <v>42.337499999999999</v>
      </c>
      <c r="I424" s="1"/>
    </row>
    <row r="425" spans="1:9" x14ac:dyDescent="0.25">
      <c r="A425">
        <v>1021</v>
      </c>
      <c r="B425" t="s">
        <v>410</v>
      </c>
      <c r="C425" t="str">
        <f t="shared" si="6"/>
        <v>36.0</v>
      </c>
      <c r="D425" s="2">
        <v>179.8</v>
      </c>
      <c r="E425" s="1">
        <v>3640.38</v>
      </c>
      <c r="F425" s="1">
        <f>Tabela1[[#This Row],[PR.CUSTO+FRETE]]-Tabela1[[#This Row],[FRETE]]</f>
        <v>3437.3858</v>
      </c>
      <c r="G425" s="1">
        <v>5390.5</v>
      </c>
      <c r="H425" s="1">
        <f>Tabela1[[#This Row],[PESO UND]]/1000*(1129)</f>
        <v>202.99420000000001</v>
      </c>
      <c r="I425" s="1"/>
    </row>
    <row r="426" spans="1:9" x14ac:dyDescent="0.25">
      <c r="A426">
        <v>1009</v>
      </c>
      <c r="B426" t="s">
        <v>411</v>
      </c>
      <c r="C426" t="str">
        <f t="shared" si="6"/>
        <v>31,2</v>
      </c>
      <c r="D426" s="2">
        <v>4680.58</v>
      </c>
      <c r="E426" s="1">
        <v>26421.09</v>
      </c>
      <c r="F426" s="1">
        <f>Tabela1[[#This Row],[PR.CUSTO+FRETE]]-Tabela1[[#This Row],[FRETE]]</f>
        <v>21136.715179999999</v>
      </c>
      <c r="G426" s="1">
        <v>43753.4</v>
      </c>
      <c r="H426" s="1">
        <f>Tabela1[[#This Row],[PESO UND]]/1000*(1129)</f>
        <v>5284.37482</v>
      </c>
      <c r="I426" s="1"/>
    </row>
    <row r="427" spans="1:9" x14ac:dyDescent="0.25">
      <c r="A427">
        <v>1014</v>
      </c>
      <c r="B427" t="s">
        <v>412</v>
      </c>
      <c r="C427" t="str">
        <f t="shared" si="6"/>
        <v>31,2</v>
      </c>
      <c r="D427" s="2">
        <v>206.3</v>
      </c>
      <c r="E427" s="1">
        <v>1651.73</v>
      </c>
      <c r="F427" s="1">
        <f>Tabela1[[#This Row],[PR.CUSTO+FRETE]]-Tabela1[[#This Row],[FRETE]]</f>
        <v>1418.8172999999999</v>
      </c>
      <c r="G427" s="1">
        <v>2826.24</v>
      </c>
      <c r="H427" s="1">
        <f>Tabela1[[#This Row],[PESO UND]]/1000*(1129)</f>
        <v>232.9127</v>
      </c>
      <c r="I427" s="1"/>
    </row>
    <row r="428" spans="1:9" x14ac:dyDescent="0.25">
      <c r="A428">
        <v>1013</v>
      </c>
      <c r="B428" t="s">
        <v>413</v>
      </c>
      <c r="C428" t="str">
        <f t="shared" si="6"/>
        <v>31,2</v>
      </c>
      <c r="D428" s="2">
        <v>1242</v>
      </c>
      <c r="E428" s="1">
        <v>6795.13</v>
      </c>
      <c r="F428" s="1">
        <f>Tabela1[[#This Row],[PR.CUSTO+FRETE]]-Tabela1[[#This Row],[FRETE]]</f>
        <v>5392.9120000000003</v>
      </c>
      <c r="G428" s="1">
        <v>11463.14</v>
      </c>
      <c r="H428" s="1">
        <f>Tabela1[[#This Row],[PESO UND]]/1000*(1129)</f>
        <v>1402.2180000000001</v>
      </c>
      <c r="I428" s="1"/>
    </row>
    <row r="429" spans="1:9" x14ac:dyDescent="0.25">
      <c r="A429">
        <v>1012</v>
      </c>
      <c r="B429" t="s">
        <v>414</v>
      </c>
      <c r="C429" t="str">
        <f t="shared" si="6"/>
        <v>31,2</v>
      </c>
      <c r="D429" s="2">
        <v>37.5</v>
      </c>
      <c r="E429" s="1">
        <v>1637.04</v>
      </c>
      <c r="F429" s="1">
        <f>Tabela1[[#This Row],[PR.CUSTO+FRETE]]-Tabela1[[#This Row],[FRETE]]</f>
        <v>1594.7024999999999</v>
      </c>
      <c r="G429" s="1">
        <v>2517.41</v>
      </c>
      <c r="H429" s="1">
        <f>Tabela1[[#This Row],[PESO UND]]/1000*(1129)</f>
        <v>42.337499999999999</v>
      </c>
      <c r="I429" s="1"/>
    </row>
    <row r="430" spans="1:9" x14ac:dyDescent="0.25">
      <c r="A430">
        <v>1011</v>
      </c>
      <c r="B430" t="s">
        <v>415</v>
      </c>
      <c r="C430" t="str">
        <f t="shared" si="6"/>
        <v>31,2</v>
      </c>
      <c r="D430" s="2">
        <v>289.5</v>
      </c>
      <c r="E430" s="1">
        <v>6104.07</v>
      </c>
      <c r="F430" s="1">
        <f>Tabela1[[#This Row],[PR.CUSTO+FRETE]]-Tabela1[[#This Row],[FRETE]]</f>
        <v>5777.2244999999994</v>
      </c>
      <c r="G430" s="1">
        <v>9060.94</v>
      </c>
      <c r="H430" s="1">
        <f>Tabela1[[#This Row],[PESO UND]]/1000*(1129)</f>
        <v>326.84549999999996</v>
      </c>
      <c r="I430" s="1"/>
    </row>
    <row r="431" spans="1:9" x14ac:dyDescent="0.25">
      <c r="A431">
        <v>1010</v>
      </c>
      <c r="B431" t="s">
        <v>416</v>
      </c>
      <c r="C431" t="str">
        <f t="shared" si="6"/>
        <v>31,2</v>
      </c>
      <c r="D431" s="2">
        <v>289.5</v>
      </c>
      <c r="E431" s="1">
        <v>5899.81</v>
      </c>
      <c r="F431" s="1">
        <f>Tabela1[[#This Row],[PR.CUSTO+FRETE]]-Tabela1[[#This Row],[FRETE]]</f>
        <v>5572.9645</v>
      </c>
      <c r="G431" s="1">
        <v>8738.49</v>
      </c>
      <c r="H431" s="1">
        <f>Tabela1[[#This Row],[PESO UND]]/1000*(1129)</f>
        <v>326.84549999999996</v>
      </c>
      <c r="I431" s="1"/>
    </row>
    <row r="432" spans="1:9" x14ac:dyDescent="0.25">
      <c r="A432">
        <v>1029</v>
      </c>
      <c r="B432" t="s">
        <v>417</v>
      </c>
      <c r="C432" t="str">
        <f t="shared" si="6"/>
        <v>68,7</v>
      </c>
      <c r="D432" s="2">
        <v>5540.54</v>
      </c>
      <c r="E432" s="1">
        <v>31973.68</v>
      </c>
      <c r="F432" s="1">
        <f>Tabela1[[#This Row],[PR.CUSTO+FRETE]]-Tabela1[[#This Row],[FRETE]]</f>
        <v>25718.410340000002</v>
      </c>
      <c r="G432" s="1">
        <v>53103.83</v>
      </c>
      <c r="H432" s="1">
        <f>Tabela1[[#This Row],[PESO UND]]/1000*(1129)</f>
        <v>6255.2696599999999</v>
      </c>
      <c r="I432" s="1"/>
    </row>
    <row r="433" spans="1:9" x14ac:dyDescent="0.25">
      <c r="A433">
        <v>1035</v>
      </c>
      <c r="B433" t="s">
        <v>418</v>
      </c>
      <c r="C433" t="str">
        <f t="shared" si="6"/>
        <v>68,7</v>
      </c>
      <c r="D433" s="2">
        <v>1556.15</v>
      </c>
      <c r="E433" s="1">
        <v>7742.38</v>
      </c>
      <c r="F433" s="1">
        <f>Tabela1[[#This Row],[PR.CUSTO+FRETE]]-Tabela1[[#This Row],[FRETE]]</f>
        <v>5985.4866499999998</v>
      </c>
      <c r="G433" s="1">
        <v>12999.69</v>
      </c>
      <c r="H433" s="1">
        <f>Tabela1[[#This Row],[PESO UND]]/1000*(1129)</f>
        <v>1756.8933500000001</v>
      </c>
      <c r="I433" s="1"/>
    </row>
    <row r="434" spans="1:9" x14ac:dyDescent="0.25">
      <c r="A434">
        <v>1034</v>
      </c>
      <c r="B434" t="s">
        <v>419</v>
      </c>
      <c r="C434" t="str">
        <f t="shared" si="6"/>
        <v>68,7</v>
      </c>
      <c r="D434" s="2">
        <v>453.65</v>
      </c>
      <c r="E434" s="1">
        <v>3477.35</v>
      </c>
      <c r="F434" s="1">
        <f>Tabela1[[#This Row],[PR.CUSTO+FRETE]]-Tabela1[[#This Row],[FRETE]]</f>
        <v>2965.1791499999999</v>
      </c>
      <c r="G434" s="1">
        <v>5981.05</v>
      </c>
      <c r="H434" s="1">
        <f>Tabela1[[#This Row],[PESO UND]]/1000*(1129)</f>
        <v>512.17084999999997</v>
      </c>
      <c r="I434" s="1"/>
    </row>
    <row r="435" spans="1:9" x14ac:dyDescent="0.25">
      <c r="A435">
        <v>1033</v>
      </c>
      <c r="B435" t="s">
        <v>420</v>
      </c>
      <c r="C435" t="str">
        <f t="shared" si="6"/>
        <v>68,7</v>
      </c>
      <c r="D435" s="2">
        <v>1555</v>
      </c>
      <c r="E435" s="1">
        <v>8448.01</v>
      </c>
      <c r="F435" s="1">
        <f>Tabela1[[#This Row],[PR.CUSTO+FRETE]]-Tabela1[[#This Row],[FRETE]]</f>
        <v>6692.415</v>
      </c>
      <c r="G435" s="1">
        <v>14259.16</v>
      </c>
      <c r="H435" s="1">
        <f>Tabela1[[#This Row],[PESO UND]]/1000*(1129)</f>
        <v>1755.595</v>
      </c>
      <c r="I435" s="1"/>
    </row>
    <row r="436" spans="1:9" x14ac:dyDescent="0.25">
      <c r="A436">
        <v>1032</v>
      </c>
      <c r="B436" t="s">
        <v>421</v>
      </c>
      <c r="C436" t="str">
        <f t="shared" si="6"/>
        <v>68,7</v>
      </c>
      <c r="D436" s="2">
        <v>52.5</v>
      </c>
      <c r="E436" s="1">
        <v>2291.85</v>
      </c>
      <c r="F436" s="1">
        <f>Tabela1[[#This Row],[PR.CUSTO+FRETE]]-Tabela1[[#This Row],[FRETE]]</f>
        <v>2232.5774999999999</v>
      </c>
      <c r="G436" s="1">
        <v>3524.38</v>
      </c>
      <c r="H436" s="1">
        <f>Tabela1[[#This Row],[PESO UND]]/1000*(1129)</f>
        <v>59.272500000000001</v>
      </c>
      <c r="I436" s="1"/>
    </row>
    <row r="437" spans="1:9" x14ac:dyDescent="0.25">
      <c r="A437">
        <v>1031</v>
      </c>
      <c r="B437" t="s">
        <v>422</v>
      </c>
      <c r="C437" t="str">
        <f t="shared" si="6"/>
        <v>68,7</v>
      </c>
      <c r="D437" s="2">
        <v>557.79999999999995</v>
      </c>
      <c r="E437" s="1">
        <v>11627.86</v>
      </c>
      <c r="F437" s="1">
        <f>Tabela1[[#This Row],[PR.CUSTO+FRETE]]-Tabela1[[#This Row],[FRETE]]</f>
        <v>10998.103800000001</v>
      </c>
      <c r="G437" s="1">
        <v>17254.349999999999</v>
      </c>
      <c r="H437" s="1">
        <f>Tabela1[[#This Row],[PESO UND]]/1000*(1129)</f>
        <v>629.75619999999992</v>
      </c>
      <c r="I437" s="1"/>
    </row>
    <row r="438" spans="1:9" x14ac:dyDescent="0.25">
      <c r="A438">
        <v>1030</v>
      </c>
      <c r="B438" t="s">
        <v>423</v>
      </c>
      <c r="C438" t="str">
        <f t="shared" si="6"/>
        <v>68,7</v>
      </c>
      <c r="D438" s="2">
        <v>557.79999999999995</v>
      </c>
      <c r="E438" s="1">
        <v>11234.8</v>
      </c>
      <c r="F438" s="1">
        <f>Tabela1[[#This Row],[PR.CUSTO+FRETE]]-Tabela1[[#This Row],[FRETE]]</f>
        <v>10605.043799999999</v>
      </c>
      <c r="G438" s="1">
        <v>16633.88</v>
      </c>
      <c r="H438" s="1">
        <f>Tabela1[[#This Row],[PESO UND]]/1000*(1129)</f>
        <v>629.75619999999992</v>
      </c>
      <c r="I438" s="1"/>
    </row>
    <row r="439" spans="1:9" x14ac:dyDescent="0.25">
      <c r="A439">
        <v>168</v>
      </c>
      <c r="B439" t="s">
        <v>946</v>
      </c>
      <c r="C439" t="str">
        <f t="shared" si="6"/>
        <v>66,5</v>
      </c>
      <c r="D439" s="2">
        <v>4247.0200000000004</v>
      </c>
      <c r="E439" s="1">
        <v>23287.7</v>
      </c>
      <c r="F439" s="1">
        <f>Tabela1[[#This Row],[PR.CUSTO+FRETE]]-Tabela1[[#This Row],[FRETE]]</f>
        <v>18492.814420000002</v>
      </c>
      <c r="G439" s="1">
        <v>38182.21</v>
      </c>
      <c r="H439" s="1">
        <f>Tabela1[[#This Row],[PESO UND]]/1000*(1129)</f>
        <v>4794.8855800000001</v>
      </c>
      <c r="I439" s="1"/>
    </row>
    <row r="440" spans="1:9" x14ac:dyDescent="0.25">
      <c r="A440">
        <v>176</v>
      </c>
      <c r="B440" t="s">
        <v>424</v>
      </c>
      <c r="C440" t="str">
        <f t="shared" si="6"/>
        <v/>
      </c>
      <c r="D440" s="2">
        <v>41.25</v>
      </c>
      <c r="E440" s="1">
        <v>1800.74</v>
      </c>
      <c r="F440" s="1">
        <f>Tabela1[[#This Row],[PR.CUSTO+FRETE]]-Tabela1[[#This Row],[FRETE]]</f>
        <v>1754.16875</v>
      </c>
      <c r="G440" s="1">
        <v>2769.15</v>
      </c>
      <c r="H440" s="1">
        <f>Tabela1[[#This Row],[PESO UND]]/1000*(1129)</f>
        <v>46.571249999999999</v>
      </c>
      <c r="I440" s="1"/>
    </row>
    <row r="441" spans="1:9" x14ac:dyDescent="0.25">
      <c r="A441">
        <v>172</v>
      </c>
      <c r="B441" t="s">
        <v>425</v>
      </c>
      <c r="C441" t="str">
        <f t="shared" si="6"/>
        <v/>
      </c>
      <c r="D441" s="2">
        <v>341.2</v>
      </c>
      <c r="E441" s="1">
        <v>7138.16</v>
      </c>
      <c r="F441" s="1">
        <f>Tabela1[[#This Row],[PR.CUSTO+FRETE]]-Tabela1[[#This Row],[FRETE]]</f>
        <v>6752.9452000000001</v>
      </c>
      <c r="G441" s="1">
        <v>10595.84</v>
      </c>
      <c r="H441" s="1">
        <f>Tabela1[[#This Row],[PESO UND]]/1000*(1129)</f>
        <v>385.21480000000003</v>
      </c>
      <c r="I441" s="1"/>
    </row>
    <row r="442" spans="1:9" x14ac:dyDescent="0.25">
      <c r="A442">
        <v>169</v>
      </c>
      <c r="B442" t="s">
        <v>426</v>
      </c>
      <c r="C442" t="str">
        <f t="shared" si="6"/>
        <v/>
      </c>
      <c r="D442" s="2">
        <v>341.2</v>
      </c>
      <c r="E442" s="1">
        <v>6897.02</v>
      </c>
      <c r="F442" s="1">
        <f>Tabela1[[#This Row],[PR.CUSTO+FRETE]]-Tabela1[[#This Row],[FRETE]]</f>
        <v>6511.8052000000007</v>
      </c>
      <c r="G442" s="1">
        <v>10215.19</v>
      </c>
      <c r="H442" s="1">
        <f>Tabela1[[#This Row],[PESO UND]]/1000*(1129)</f>
        <v>385.21480000000003</v>
      </c>
      <c r="I442" s="1"/>
    </row>
    <row r="443" spans="1:9" x14ac:dyDescent="0.25">
      <c r="A443">
        <v>149</v>
      </c>
      <c r="B443" t="s">
        <v>947</v>
      </c>
      <c r="C443" t="str">
        <f t="shared" si="6"/>
        <v>100,</v>
      </c>
      <c r="D443" s="2">
        <v>9521.33</v>
      </c>
      <c r="E443" s="1">
        <v>53858.12</v>
      </c>
      <c r="F443" s="1">
        <f>Tabela1[[#This Row],[PR.CUSTO+FRETE]]-Tabela1[[#This Row],[FRETE]]</f>
        <v>43108.538430000001</v>
      </c>
      <c r="G443" s="1">
        <v>87980.7</v>
      </c>
      <c r="H443" s="1">
        <f>Tabela1[[#This Row],[PESO UND]]/1000*(1129)</f>
        <v>10749.58157</v>
      </c>
      <c r="I443" s="1"/>
    </row>
    <row r="444" spans="1:9" x14ac:dyDescent="0.25">
      <c r="A444">
        <v>150</v>
      </c>
      <c r="B444" t="s">
        <v>427</v>
      </c>
      <c r="C444" t="str">
        <f t="shared" si="6"/>
        <v/>
      </c>
      <c r="D444" s="2">
        <v>56.25</v>
      </c>
      <c r="E444" s="1">
        <v>2455.56</v>
      </c>
      <c r="F444" s="1">
        <f>Tabela1[[#This Row],[PR.CUSTO+FRETE]]-Tabela1[[#This Row],[FRETE]]</f>
        <v>2392.05375</v>
      </c>
      <c r="G444" s="1">
        <v>3776.12</v>
      </c>
      <c r="H444" s="1">
        <f>Tabela1[[#This Row],[PESO UND]]/1000*(1129)</f>
        <v>63.506250000000001</v>
      </c>
      <c r="I444" s="1"/>
    </row>
    <row r="445" spans="1:9" x14ac:dyDescent="0.25">
      <c r="A445">
        <v>1178</v>
      </c>
      <c r="B445" t="s">
        <v>428</v>
      </c>
      <c r="C445" t="str">
        <f t="shared" si="6"/>
        <v>114,</v>
      </c>
      <c r="D445" s="2">
        <v>438.05</v>
      </c>
      <c r="E445" s="1">
        <v>3384.62</v>
      </c>
      <c r="F445" s="1">
        <f>Tabela1[[#This Row],[PR.CUSTO+FRETE]]-Tabela1[[#This Row],[FRETE]]</f>
        <v>2890.0615499999999</v>
      </c>
      <c r="G445" s="1">
        <v>5815.04</v>
      </c>
      <c r="H445" s="1">
        <f>Tabela1[[#This Row],[PESO UND]]/1000*(1129)</f>
        <v>494.55844999999999</v>
      </c>
      <c r="I445" s="1"/>
    </row>
    <row r="446" spans="1:9" x14ac:dyDescent="0.25">
      <c r="A446">
        <v>1177</v>
      </c>
      <c r="B446" t="s">
        <v>429</v>
      </c>
      <c r="C446" t="str">
        <f t="shared" si="6"/>
        <v>114,</v>
      </c>
      <c r="D446" s="2">
        <v>715.5</v>
      </c>
      <c r="E446" s="1">
        <v>4212.46</v>
      </c>
      <c r="F446" s="1">
        <f>Tabela1[[#This Row],[PR.CUSTO+FRETE]]-Tabela1[[#This Row],[FRETE]]</f>
        <v>3404.6605</v>
      </c>
      <c r="G446" s="1">
        <v>6993.21</v>
      </c>
      <c r="H446" s="1">
        <f>Tabela1[[#This Row],[PESO UND]]/1000*(1129)</f>
        <v>807.79950000000008</v>
      </c>
      <c r="I446" s="1"/>
    </row>
    <row r="447" spans="1:9" x14ac:dyDescent="0.25">
      <c r="A447">
        <v>1173</v>
      </c>
      <c r="B447" t="s">
        <v>430</v>
      </c>
      <c r="C447" t="str">
        <f t="shared" si="6"/>
        <v>114,</v>
      </c>
      <c r="D447" s="2">
        <v>6987.88</v>
      </c>
      <c r="E447" s="1">
        <v>36710.050000000003</v>
      </c>
      <c r="F447" s="1">
        <f>Tabela1[[#This Row],[PR.CUSTO+FRETE]]-Tabela1[[#This Row],[FRETE]]</f>
        <v>28820.733480000003</v>
      </c>
      <c r="G447" s="1">
        <v>59418.37</v>
      </c>
      <c r="H447" s="1">
        <f>Tabela1[[#This Row],[PESO UND]]/1000*(1129)</f>
        <v>7889.3165200000003</v>
      </c>
      <c r="I447" s="1"/>
    </row>
    <row r="448" spans="1:9" x14ac:dyDescent="0.25">
      <c r="A448">
        <v>1176</v>
      </c>
      <c r="B448" t="s">
        <v>431</v>
      </c>
      <c r="C448" t="str">
        <f t="shared" si="6"/>
        <v>114,</v>
      </c>
      <c r="D448" s="2">
        <v>60</v>
      </c>
      <c r="E448" s="1">
        <v>2619.2600000000002</v>
      </c>
      <c r="F448" s="1">
        <f>Tabela1[[#This Row],[PR.CUSTO+FRETE]]-Tabela1[[#This Row],[FRETE]]</f>
        <v>2551.5200000000004</v>
      </c>
      <c r="G448" s="1">
        <v>4027.86</v>
      </c>
      <c r="H448" s="1">
        <f>Tabela1[[#This Row],[PESO UND]]/1000*(1129)</f>
        <v>67.739999999999995</v>
      </c>
      <c r="I448" s="1"/>
    </row>
    <row r="449" spans="1:9" x14ac:dyDescent="0.25">
      <c r="A449">
        <v>1175</v>
      </c>
      <c r="B449" t="s">
        <v>432</v>
      </c>
      <c r="C449" t="str">
        <f t="shared" si="6"/>
        <v>114,</v>
      </c>
      <c r="D449" s="2">
        <v>670.7</v>
      </c>
      <c r="E449" s="1">
        <v>13933.33</v>
      </c>
      <c r="F449" s="1">
        <f>Tabela1[[#This Row],[PR.CUSTO+FRETE]]-Tabela1[[#This Row],[FRETE]]</f>
        <v>13176.109699999999</v>
      </c>
      <c r="G449" s="1">
        <v>20670.21</v>
      </c>
      <c r="H449" s="1">
        <f>Tabela1[[#This Row],[PESO UND]]/1000*(1129)</f>
        <v>757.22030000000007</v>
      </c>
      <c r="I449" s="1"/>
    </row>
    <row r="450" spans="1:9" x14ac:dyDescent="0.25">
      <c r="A450">
        <v>1174</v>
      </c>
      <c r="B450" t="s">
        <v>433</v>
      </c>
      <c r="C450" t="str">
        <f t="shared" ref="C450:C513" si="7">IFERROR(MID(B450,FIND("(",B450)+1,4),"")</f>
        <v>114,</v>
      </c>
      <c r="D450" s="2">
        <v>670.7</v>
      </c>
      <c r="E450" s="1">
        <v>13461.16</v>
      </c>
      <c r="F450" s="1">
        <f>Tabela1[[#This Row],[PR.CUSTO+FRETE]]-Tabela1[[#This Row],[FRETE]]</f>
        <v>12703.939699999999</v>
      </c>
      <c r="G450" s="1">
        <v>19924.87</v>
      </c>
      <c r="H450" s="1">
        <f>Tabela1[[#This Row],[PESO UND]]/1000*(1129)</f>
        <v>757.22030000000007</v>
      </c>
      <c r="I450" s="1"/>
    </row>
    <row r="451" spans="1:9" x14ac:dyDescent="0.25">
      <c r="A451">
        <v>1168</v>
      </c>
      <c r="B451" t="s">
        <v>434</v>
      </c>
      <c r="C451" t="str">
        <f t="shared" si="7"/>
        <v>99,9</v>
      </c>
      <c r="D451" s="2">
        <v>9063.89</v>
      </c>
      <c r="E451" s="1">
        <v>46299.09</v>
      </c>
      <c r="F451" s="1">
        <f>Tabela1[[#This Row],[PR.CUSTO+FRETE]]-Tabela1[[#This Row],[FRETE]]</f>
        <v>36065.958189999998</v>
      </c>
      <c r="G451" s="1">
        <v>76027.64</v>
      </c>
      <c r="H451" s="1">
        <f>Tabela1[[#This Row],[PESO UND]]/1000*(1129)</f>
        <v>10233.131809999999</v>
      </c>
      <c r="I451" s="1"/>
    </row>
    <row r="452" spans="1:9" x14ac:dyDescent="0.25">
      <c r="A452">
        <v>1172</v>
      </c>
      <c r="B452" t="s">
        <v>435</v>
      </c>
      <c r="C452" t="str">
        <f t="shared" si="7"/>
        <v>99,9</v>
      </c>
      <c r="D452" s="2">
        <v>235.5</v>
      </c>
      <c r="E452" s="1">
        <v>1896.6</v>
      </c>
      <c r="F452" s="1">
        <f>Tabela1[[#This Row],[PR.CUSTO+FRETE]]-Tabela1[[#This Row],[FRETE]]</f>
        <v>1630.7204999999999</v>
      </c>
      <c r="G452" s="1">
        <v>3240.55</v>
      </c>
      <c r="H452" s="1">
        <f>Tabela1[[#This Row],[PESO UND]]/1000*(1129)</f>
        <v>265.87950000000001</v>
      </c>
      <c r="I452" s="1"/>
    </row>
    <row r="453" spans="1:9" x14ac:dyDescent="0.25">
      <c r="A453">
        <v>1171</v>
      </c>
      <c r="B453" t="s">
        <v>436</v>
      </c>
      <c r="C453" t="str">
        <f t="shared" si="7"/>
        <v>99,9</v>
      </c>
      <c r="D453" s="2">
        <v>67.5</v>
      </c>
      <c r="E453" s="1">
        <v>2946.67</v>
      </c>
      <c r="F453" s="1">
        <f>Tabela1[[#This Row],[PR.CUSTO+FRETE]]-Tabela1[[#This Row],[FRETE]]</f>
        <v>2870.4625000000001</v>
      </c>
      <c r="G453" s="1">
        <v>4531.34</v>
      </c>
      <c r="H453" s="1">
        <f>Tabela1[[#This Row],[PESO UND]]/1000*(1129)</f>
        <v>76.20750000000001</v>
      </c>
      <c r="I453" s="1"/>
    </row>
    <row r="454" spans="1:9" x14ac:dyDescent="0.25">
      <c r="A454">
        <v>1170</v>
      </c>
      <c r="B454" t="s">
        <v>437</v>
      </c>
      <c r="C454" t="str">
        <f t="shared" si="7"/>
        <v>99,9</v>
      </c>
      <c r="D454" s="2">
        <v>621.79999999999995</v>
      </c>
      <c r="E454" s="1">
        <v>12857.52</v>
      </c>
      <c r="F454" s="1">
        <f>Tabela1[[#This Row],[PR.CUSTO+FRETE]]-Tabela1[[#This Row],[FRETE]]</f>
        <v>12155.507800000001</v>
      </c>
      <c r="G454" s="1">
        <v>19077.84</v>
      </c>
      <c r="H454" s="1">
        <f>Tabela1[[#This Row],[PESO UND]]/1000*(1129)</f>
        <v>702.01219999999989</v>
      </c>
      <c r="I454" s="1"/>
    </row>
    <row r="455" spans="1:9" x14ac:dyDescent="0.25">
      <c r="A455">
        <v>1169</v>
      </c>
      <c r="B455" t="s">
        <v>438</v>
      </c>
      <c r="C455" t="str">
        <f t="shared" si="7"/>
        <v>99,9</v>
      </c>
      <c r="D455" s="2">
        <v>621.79999999999995</v>
      </c>
      <c r="E455" s="1">
        <v>12419.33</v>
      </c>
      <c r="F455" s="1">
        <f>Tabela1[[#This Row],[PR.CUSTO+FRETE]]-Tabela1[[#This Row],[FRETE]]</f>
        <v>11717.317800000001</v>
      </c>
      <c r="G455" s="1">
        <v>18386.12</v>
      </c>
      <c r="H455" s="1">
        <f>Tabela1[[#This Row],[PESO UND]]/1000*(1129)</f>
        <v>702.01219999999989</v>
      </c>
      <c r="I455" s="1"/>
    </row>
    <row r="456" spans="1:9" x14ac:dyDescent="0.25">
      <c r="A456">
        <v>1197</v>
      </c>
      <c r="B456" t="s">
        <v>439</v>
      </c>
      <c r="C456" t="str">
        <f t="shared" si="7"/>
        <v>49,6</v>
      </c>
      <c r="D456" s="2">
        <v>2991.37</v>
      </c>
      <c r="E456" s="1">
        <v>19201.39</v>
      </c>
      <c r="F456" s="1">
        <f>Tabela1[[#This Row],[PR.CUSTO+FRETE]]-Tabela1[[#This Row],[FRETE]]</f>
        <v>15824.133269999998</v>
      </c>
      <c r="G456" s="1">
        <v>31485.08</v>
      </c>
      <c r="H456" s="1">
        <f>Tabela1[[#This Row],[PESO UND]]/1000*(1129)</f>
        <v>3377.2567300000001</v>
      </c>
      <c r="I456" s="1"/>
    </row>
    <row r="457" spans="1:9" x14ac:dyDescent="0.25">
      <c r="A457">
        <v>1202</v>
      </c>
      <c r="B457" t="s">
        <v>440</v>
      </c>
      <c r="C457" t="str">
        <f t="shared" si="7"/>
        <v>49,6</v>
      </c>
      <c r="D457" s="2">
        <v>134.80000000000001</v>
      </c>
      <c r="E457" s="1">
        <v>1096.23</v>
      </c>
      <c r="F457" s="1">
        <f>Tabela1[[#This Row],[PR.CUSTO+FRETE]]-Tabela1[[#This Row],[FRETE]]</f>
        <v>944.04079999999999</v>
      </c>
      <c r="G457" s="1">
        <v>1871.23</v>
      </c>
      <c r="H457" s="1">
        <f>Tabela1[[#This Row],[PESO UND]]/1000*(1129)</f>
        <v>152.1892</v>
      </c>
      <c r="I457" s="1"/>
    </row>
    <row r="458" spans="1:9" x14ac:dyDescent="0.25">
      <c r="A458">
        <v>1201</v>
      </c>
      <c r="B458" t="s">
        <v>441</v>
      </c>
      <c r="C458" t="str">
        <f t="shared" si="7"/>
        <v>49,6</v>
      </c>
      <c r="D458" s="2">
        <v>796</v>
      </c>
      <c r="E458" s="1">
        <v>4373.01</v>
      </c>
      <c r="F458" s="1">
        <f>Tabela1[[#This Row],[PR.CUSTO+FRETE]]-Tabela1[[#This Row],[FRETE]]</f>
        <v>3474.326</v>
      </c>
      <c r="G458" s="1">
        <v>7374.77</v>
      </c>
      <c r="H458" s="1">
        <f>Tabela1[[#This Row],[PESO UND]]/1000*(1129)</f>
        <v>898.68400000000008</v>
      </c>
      <c r="I458" s="1"/>
    </row>
    <row r="459" spans="1:9" x14ac:dyDescent="0.25">
      <c r="A459">
        <v>1200</v>
      </c>
      <c r="B459" t="s">
        <v>442</v>
      </c>
      <c r="C459" t="str">
        <f t="shared" si="7"/>
        <v>49,6</v>
      </c>
      <c r="D459" s="2">
        <v>28.8</v>
      </c>
      <c r="E459" s="1">
        <v>1390.04</v>
      </c>
      <c r="F459" s="1">
        <f>Tabela1[[#This Row],[PR.CUSTO+FRETE]]-Tabela1[[#This Row],[FRETE]]</f>
        <v>1357.5247999999999</v>
      </c>
      <c r="G459" s="1">
        <v>2142.9899999999998</v>
      </c>
      <c r="H459" s="1">
        <f>Tabela1[[#This Row],[PESO UND]]/1000*(1129)</f>
        <v>32.5152</v>
      </c>
      <c r="I459" s="1"/>
    </row>
    <row r="460" spans="1:9" x14ac:dyDescent="0.25">
      <c r="A460">
        <v>1199</v>
      </c>
      <c r="B460" t="s">
        <v>443</v>
      </c>
      <c r="C460" t="str">
        <f t="shared" si="7"/>
        <v>49,6</v>
      </c>
      <c r="D460" s="2">
        <v>274.5</v>
      </c>
      <c r="E460" s="1">
        <v>5735.63</v>
      </c>
      <c r="F460" s="1">
        <f>Tabela1[[#This Row],[PR.CUSTO+FRETE]]-Tabela1[[#This Row],[FRETE]]</f>
        <v>5425.7195000000002</v>
      </c>
      <c r="G460" s="1">
        <v>8511.42</v>
      </c>
      <c r="H460" s="1">
        <f>Tabela1[[#This Row],[PESO UND]]/1000*(1129)</f>
        <v>309.91050000000001</v>
      </c>
      <c r="I460" s="1"/>
    </row>
    <row r="461" spans="1:9" x14ac:dyDescent="0.25">
      <c r="A461">
        <v>1198</v>
      </c>
      <c r="B461" t="s">
        <v>444</v>
      </c>
      <c r="C461" t="str">
        <f t="shared" si="7"/>
        <v>49,6</v>
      </c>
      <c r="D461" s="2">
        <v>274.5</v>
      </c>
      <c r="E461" s="1">
        <v>5542.85</v>
      </c>
      <c r="F461" s="1">
        <f>Tabela1[[#This Row],[PR.CUSTO+FRETE]]-Tabela1[[#This Row],[FRETE]]</f>
        <v>5232.9395000000004</v>
      </c>
      <c r="G461" s="1">
        <v>8207.1</v>
      </c>
      <c r="H461" s="1">
        <f>Tabela1[[#This Row],[PESO UND]]/1000*(1129)</f>
        <v>309.91050000000001</v>
      </c>
      <c r="I461" s="1"/>
    </row>
    <row r="462" spans="1:9" x14ac:dyDescent="0.25">
      <c r="A462">
        <v>275</v>
      </c>
      <c r="B462" t="s">
        <v>445</v>
      </c>
      <c r="C462" t="str">
        <f t="shared" si="7"/>
        <v>52,5</v>
      </c>
      <c r="D462" s="2">
        <v>4260.71</v>
      </c>
      <c r="E462" s="1">
        <v>23084</v>
      </c>
      <c r="F462" s="1">
        <f>Tabela1[[#This Row],[PR.CUSTO+FRETE]]-Tabela1[[#This Row],[FRETE]]</f>
        <v>18273.65841</v>
      </c>
      <c r="G462" s="1">
        <v>37295.769999999997</v>
      </c>
      <c r="H462" s="1">
        <f>Tabela1[[#This Row],[PESO UND]]/1000*(1129)</f>
        <v>4810.3415900000009</v>
      </c>
      <c r="I462" s="1"/>
    </row>
    <row r="463" spans="1:9" x14ac:dyDescent="0.25">
      <c r="A463">
        <v>670</v>
      </c>
      <c r="B463" t="s">
        <v>446</v>
      </c>
      <c r="C463" t="str">
        <f t="shared" si="7"/>
        <v>52,5</v>
      </c>
      <c r="D463" s="2">
        <v>676.25</v>
      </c>
      <c r="E463" s="1">
        <v>4827.41</v>
      </c>
      <c r="F463" s="1">
        <f>Tabela1[[#This Row],[PR.CUSTO+FRETE]]-Tabela1[[#This Row],[FRETE]]</f>
        <v>4063.9237499999999</v>
      </c>
      <c r="G463" s="1">
        <v>8829.16</v>
      </c>
      <c r="H463" s="1">
        <f>Tabela1[[#This Row],[PESO UND]]/1000*(1129)</f>
        <v>763.48625000000004</v>
      </c>
      <c r="I463" s="1"/>
    </row>
    <row r="464" spans="1:9" x14ac:dyDescent="0.25">
      <c r="A464">
        <v>672</v>
      </c>
      <c r="B464" t="s">
        <v>447</v>
      </c>
      <c r="C464" t="str">
        <f t="shared" si="7"/>
        <v>52,5</v>
      </c>
      <c r="D464" s="2">
        <v>376.45</v>
      </c>
      <c r="E464" s="1">
        <v>2804.58</v>
      </c>
      <c r="F464" s="1">
        <f>Tabela1[[#This Row],[PR.CUSTO+FRETE]]-Tabela1[[#This Row],[FRETE]]</f>
        <v>2379.5679500000001</v>
      </c>
      <c r="G464" s="1">
        <v>4848.8100000000004</v>
      </c>
      <c r="H464" s="1">
        <f>Tabela1[[#This Row],[PESO UND]]/1000*(1129)</f>
        <v>425.01204999999999</v>
      </c>
      <c r="I464" s="1"/>
    </row>
    <row r="465" spans="1:9" x14ac:dyDescent="0.25">
      <c r="A465">
        <v>279</v>
      </c>
      <c r="B465" t="s">
        <v>448</v>
      </c>
      <c r="C465" t="str">
        <f t="shared" si="7"/>
        <v>52,5</v>
      </c>
      <c r="D465" s="2">
        <v>1241</v>
      </c>
      <c r="E465" s="1">
        <v>6673.87</v>
      </c>
      <c r="F465" s="1">
        <f>Tabela1[[#This Row],[PR.CUSTO+FRETE]]-Tabela1[[#This Row],[FRETE]]</f>
        <v>5272.7809999999999</v>
      </c>
      <c r="G465" s="1">
        <v>11273.5</v>
      </c>
      <c r="H465" s="1">
        <f>Tabela1[[#This Row],[PESO UND]]/1000*(1129)</f>
        <v>1401.0890000000002</v>
      </c>
      <c r="I465" s="1"/>
    </row>
    <row r="466" spans="1:9" x14ac:dyDescent="0.25">
      <c r="A466">
        <v>278</v>
      </c>
      <c r="B466" t="s">
        <v>449</v>
      </c>
      <c r="C466" t="str">
        <f t="shared" si="7"/>
        <v>52,5</v>
      </c>
      <c r="D466" s="2">
        <v>39.6</v>
      </c>
      <c r="E466" s="1">
        <v>1911.3</v>
      </c>
      <c r="F466" s="1">
        <f>Tabela1[[#This Row],[PR.CUSTO+FRETE]]-Tabela1[[#This Row],[FRETE]]</f>
        <v>1866.5916</v>
      </c>
      <c r="G466" s="1">
        <v>2946.62</v>
      </c>
      <c r="H466" s="1">
        <f>Tabela1[[#This Row],[PESO UND]]/1000*(1129)</f>
        <v>44.708400000000005</v>
      </c>
      <c r="I466" s="1"/>
    </row>
    <row r="467" spans="1:9" x14ac:dyDescent="0.25">
      <c r="A467">
        <v>277</v>
      </c>
      <c r="B467" t="s">
        <v>450</v>
      </c>
      <c r="C467" t="str">
        <f t="shared" si="7"/>
        <v>52,5</v>
      </c>
      <c r="D467" s="2">
        <v>405.3</v>
      </c>
      <c r="E467" s="1">
        <v>8564.7199999999993</v>
      </c>
      <c r="F467" s="1">
        <f>Tabela1[[#This Row],[PR.CUSTO+FRETE]]-Tabela1[[#This Row],[FRETE]]</f>
        <v>8107.1362999999992</v>
      </c>
      <c r="G467" s="1">
        <v>12708.58</v>
      </c>
      <c r="H467" s="1">
        <f>Tabela1[[#This Row],[PESO UND]]/1000*(1129)</f>
        <v>457.58369999999996</v>
      </c>
      <c r="I467" s="1"/>
    </row>
    <row r="468" spans="1:9" x14ac:dyDescent="0.25">
      <c r="A468">
        <v>276</v>
      </c>
      <c r="B468" t="s">
        <v>451</v>
      </c>
      <c r="C468" t="str">
        <f t="shared" si="7"/>
        <v>52,5</v>
      </c>
      <c r="D468" s="2">
        <v>405.3</v>
      </c>
      <c r="E468" s="1">
        <v>8278.77</v>
      </c>
      <c r="F468" s="1">
        <f>Tabela1[[#This Row],[PR.CUSTO+FRETE]]-Tabela1[[#This Row],[FRETE]]</f>
        <v>7821.1863000000003</v>
      </c>
      <c r="G468" s="1">
        <v>12257.16</v>
      </c>
      <c r="H468" s="1">
        <f>Tabela1[[#This Row],[PESO UND]]/1000*(1129)</f>
        <v>457.58369999999996</v>
      </c>
      <c r="I468" s="1"/>
    </row>
    <row r="469" spans="1:9" x14ac:dyDescent="0.25">
      <c r="A469">
        <v>673</v>
      </c>
      <c r="B469" t="s">
        <v>452</v>
      </c>
      <c r="C469" t="str">
        <f t="shared" si="7"/>
        <v>68,7</v>
      </c>
      <c r="D469" s="2">
        <v>6051.61</v>
      </c>
      <c r="E469" s="1">
        <v>34119.22</v>
      </c>
      <c r="F469" s="1">
        <f>Tabela1[[#This Row],[PR.CUSTO+FRETE]]-Tabela1[[#This Row],[FRETE]]</f>
        <v>27286.952310000001</v>
      </c>
      <c r="G469" s="1">
        <v>55226.21</v>
      </c>
      <c r="H469" s="1">
        <f>Tabela1[[#This Row],[PESO UND]]/1000*(1129)</f>
        <v>6832.2676899999988</v>
      </c>
      <c r="I469" s="1"/>
    </row>
    <row r="470" spans="1:9" x14ac:dyDescent="0.25">
      <c r="A470">
        <v>675</v>
      </c>
      <c r="B470" t="s">
        <v>453</v>
      </c>
      <c r="C470" t="str">
        <f t="shared" si="7"/>
        <v>68,7</v>
      </c>
      <c r="D470" s="2">
        <v>1672.25</v>
      </c>
      <c r="E470" s="1">
        <v>10024.219999999999</v>
      </c>
      <c r="F470" s="1">
        <f>Tabela1[[#This Row],[PR.CUSTO+FRETE]]-Tabela1[[#This Row],[FRETE]]</f>
        <v>8136.249749999999</v>
      </c>
      <c r="G470" s="1">
        <v>17676.79</v>
      </c>
      <c r="H470" s="1">
        <f>Tabela1[[#This Row],[PESO UND]]/1000*(1129)</f>
        <v>1887.9702500000001</v>
      </c>
      <c r="I470" s="1"/>
    </row>
    <row r="471" spans="1:9" x14ac:dyDescent="0.25">
      <c r="A471">
        <v>674</v>
      </c>
      <c r="B471" t="s">
        <v>454</v>
      </c>
      <c r="C471" t="str">
        <f t="shared" si="7"/>
        <v>68,7</v>
      </c>
      <c r="D471" s="2">
        <v>329.65</v>
      </c>
      <c r="E471" s="1">
        <v>2526.38</v>
      </c>
      <c r="F471" s="1">
        <f>Tabela1[[#This Row],[PR.CUSTO+FRETE]]-Tabela1[[#This Row],[FRETE]]</f>
        <v>2154.2051500000002</v>
      </c>
      <c r="G471" s="1">
        <v>4350.76</v>
      </c>
      <c r="H471" s="1">
        <f>Tabela1[[#This Row],[PESO UND]]/1000*(1129)</f>
        <v>372.17484999999999</v>
      </c>
      <c r="I471" s="1"/>
    </row>
    <row r="472" spans="1:9" x14ac:dyDescent="0.25">
      <c r="A472">
        <v>324</v>
      </c>
      <c r="B472" t="s">
        <v>455</v>
      </c>
      <c r="C472" t="str">
        <f t="shared" si="7"/>
        <v>68,7</v>
      </c>
      <c r="D472" s="2">
        <v>1821</v>
      </c>
      <c r="E472" s="1">
        <v>9986.5300000000007</v>
      </c>
      <c r="F472" s="1">
        <f>Tabela1[[#This Row],[PR.CUSTO+FRETE]]-Tabela1[[#This Row],[FRETE]]</f>
        <v>7930.621000000001</v>
      </c>
      <c r="G472" s="1">
        <v>16843.849999999999</v>
      </c>
      <c r="H472" s="1">
        <f>Tabela1[[#This Row],[PESO UND]]/1000*(1129)</f>
        <v>2055.9090000000001</v>
      </c>
      <c r="I472" s="1"/>
    </row>
    <row r="473" spans="1:9" x14ac:dyDescent="0.25">
      <c r="A473">
        <v>323</v>
      </c>
      <c r="B473" t="s">
        <v>456</v>
      </c>
      <c r="C473" t="str">
        <f t="shared" si="7"/>
        <v>68,7</v>
      </c>
      <c r="D473" s="2">
        <v>71.25</v>
      </c>
      <c r="E473" s="1">
        <v>3110.37</v>
      </c>
      <c r="F473" s="1">
        <f>Tabela1[[#This Row],[PR.CUSTO+FRETE]]-Tabela1[[#This Row],[FRETE]]</f>
        <v>3029.92875</v>
      </c>
      <c r="G473" s="1">
        <v>4783.08</v>
      </c>
      <c r="H473" s="1">
        <f>Tabela1[[#This Row],[PESO UND]]/1000*(1129)</f>
        <v>80.441249999999997</v>
      </c>
      <c r="I473" s="1"/>
    </row>
    <row r="474" spans="1:9" x14ac:dyDescent="0.25">
      <c r="A474">
        <v>322</v>
      </c>
      <c r="B474" t="s">
        <v>457</v>
      </c>
      <c r="C474" t="str">
        <f t="shared" si="7"/>
        <v>68,7</v>
      </c>
      <c r="D474" s="2">
        <v>560.6</v>
      </c>
      <c r="E474" s="1">
        <v>11969.44</v>
      </c>
      <c r="F474" s="1">
        <f>Tabela1[[#This Row],[PR.CUSTO+FRETE]]-Tabela1[[#This Row],[FRETE]]</f>
        <v>11336.5226</v>
      </c>
      <c r="G474" s="1">
        <v>17768.98</v>
      </c>
      <c r="H474" s="1">
        <f>Tabela1[[#This Row],[PESO UND]]/1000*(1129)</f>
        <v>632.91739999999993</v>
      </c>
      <c r="I474" s="1"/>
    </row>
    <row r="475" spans="1:9" x14ac:dyDescent="0.25">
      <c r="A475">
        <v>321</v>
      </c>
      <c r="B475" t="s">
        <v>458</v>
      </c>
      <c r="C475" t="str">
        <f t="shared" si="7"/>
        <v>68,7</v>
      </c>
      <c r="D475" s="2">
        <v>560.6</v>
      </c>
      <c r="E475" s="1">
        <v>11573.47</v>
      </c>
      <c r="F475" s="1">
        <f>Tabela1[[#This Row],[PR.CUSTO+FRETE]]-Tabela1[[#This Row],[FRETE]]</f>
        <v>10940.552599999999</v>
      </c>
      <c r="G475" s="1">
        <v>17143.900000000001</v>
      </c>
      <c r="H475" s="1">
        <f>Tabela1[[#This Row],[PESO UND]]/1000*(1129)</f>
        <v>632.91739999999993</v>
      </c>
      <c r="I475" s="1"/>
    </row>
    <row r="476" spans="1:9" x14ac:dyDescent="0.25">
      <c r="A476">
        <v>681</v>
      </c>
      <c r="B476" t="s">
        <v>459</v>
      </c>
      <c r="C476" t="str">
        <f t="shared" si="7"/>
        <v>45,8</v>
      </c>
      <c r="D476" s="2">
        <v>4348.04</v>
      </c>
      <c r="E476" s="1">
        <v>24673.8</v>
      </c>
      <c r="F476" s="1">
        <f>Tabela1[[#This Row],[PR.CUSTO+FRETE]]-Tabela1[[#This Row],[FRETE]]</f>
        <v>19764.862839999998</v>
      </c>
      <c r="G476" s="1">
        <v>40143.120000000003</v>
      </c>
      <c r="H476" s="1">
        <f>Tabela1[[#This Row],[PESO UND]]/1000*(1129)</f>
        <v>4908.9371600000004</v>
      </c>
      <c r="I476" s="1"/>
    </row>
    <row r="477" spans="1:9" x14ac:dyDescent="0.25">
      <c r="A477">
        <v>683</v>
      </c>
      <c r="B477" t="s">
        <v>460</v>
      </c>
      <c r="C477" t="str">
        <f t="shared" si="7"/>
        <v>45,8</v>
      </c>
      <c r="D477" s="2">
        <v>1137.9000000000001</v>
      </c>
      <c r="E477" s="1">
        <v>6910.79</v>
      </c>
      <c r="F477" s="1">
        <f>Tabela1[[#This Row],[PR.CUSTO+FRETE]]-Tabela1[[#This Row],[FRETE]]</f>
        <v>5626.1008999999995</v>
      </c>
      <c r="G477" s="1">
        <v>12205.54</v>
      </c>
      <c r="H477" s="1">
        <f>Tabela1[[#This Row],[PESO UND]]/1000*(1129)</f>
        <v>1284.6891000000001</v>
      </c>
      <c r="I477" s="1"/>
    </row>
    <row r="478" spans="1:9" x14ac:dyDescent="0.25">
      <c r="A478">
        <v>682</v>
      </c>
      <c r="B478" t="s">
        <v>461</v>
      </c>
      <c r="C478" t="str">
        <f t="shared" si="7"/>
        <v>45,8</v>
      </c>
      <c r="D478" s="2">
        <v>205.7</v>
      </c>
      <c r="E478" s="1">
        <v>1576.88</v>
      </c>
      <c r="F478" s="1">
        <f>Tabela1[[#This Row],[PR.CUSTO+FRETE]]-Tabela1[[#This Row],[FRETE]]</f>
        <v>1344.6447000000001</v>
      </c>
      <c r="G478" s="1">
        <v>2716.29</v>
      </c>
      <c r="H478" s="1">
        <f>Tabela1[[#This Row],[PESO UND]]/1000*(1129)</f>
        <v>232.2353</v>
      </c>
      <c r="I478" s="1"/>
    </row>
    <row r="479" spans="1:9" x14ac:dyDescent="0.25">
      <c r="A479">
        <v>334</v>
      </c>
      <c r="B479" t="s">
        <v>462</v>
      </c>
      <c r="C479" t="str">
        <f t="shared" si="7"/>
        <v>45,8</v>
      </c>
      <c r="D479" s="2">
        <v>1596</v>
      </c>
      <c r="E479" s="1">
        <v>8532.92</v>
      </c>
      <c r="F479" s="1">
        <f>Tabela1[[#This Row],[PR.CUSTO+FRETE]]-Tabela1[[#This Row],[FRETE]]</f>
        <v>6731.0360000000001</v>
      </c>
      <c r="G479" s="1">
        <v>14420.38</v>
      </c>
      <c r="H479" s="1">
        <f>Tabela1[[#This Row],[PESO UND]]/1000*(1129)</f>
        <v>1801.884</v>
      </c>
      <c r="I479" s="1"/>
    </row>
    <row r="480" spans="1:9" x14ac:dyDescent="0.25">
      <c r="A480">
        <v>333</v>
      </c>
      <c r="B480" t="s">
        <v>463</v>
      </c>
      <c r="C480" t="str">
        <f t="shared" si="7"/>
        <v>45,8</v>
      </c>
      <c r="D480" s="2">
        <v>52.5</v>
      </c>
      <c r="E480" s="1">
        <v>2291.85</v>
      </c>
      <c r="F480" s="1">
        <f>Tabela1[[#This Row],[PR.CUSTO+FRETE]]-Tabela1[[#This Row],[FRETE]]</f>
        <v>2232.5774999999999</v>
      </c>
      <c r="G480" s="1">
        <v>3524.38</v>
      </c>
      <c r="H480" s="1">
        <f>Tabela1[[#This Row],[PESO UND]]/1000*(1129)</f>
        <v>59.272500000000001</v>
      </c>
      <c r="I480" s="1"/>
    </row>
    <row r="481" spans="1:9" x14ac:dyDescent="0.25">
      <c r="A481">
        <v>332</v>
      </c>
      <c r="B481" t="s">
        <v>464</v>
      </c>
      <c r="C481" t="str">
        <f t="shared" si="7"/>
        <v>45,8</v>
      </c>
      <c r="D481" s="2">
        <v>392.8</v>
      </c>
      <c r="E481" s="1">
        <v>8238</v>
      </c>
      <c r="F481" s="1">
        <f>Tabela1[[#This Row],[PR.CUSTO+FRETE]]-Tabela1[[#This Row],[FRETE]]</f>
        <v>7794.5288</v>
      </c>
      <c r="G481" s="1">
        <v>12229.36</v>
      </c>
      <c r="H481" s="1">
        <f>Tabela1[[#This Row],[PESO UND]]/1000*(1129)</f>
        <v>443.47120000000007</v>
      </c>
      <c r="I481" s="1"/>
    </row>
    <row r="482" spans="1:9" x14ac:dyDescent="0.25">
      <c r="A482">
        <v>331</v>
      </c>
      <c r="B482" t="s">
        <v>465</v>
      </c>
      <c r="C482" t="str">
        <f t="shared" si="7"/>
        <v>45,8</v>
      </c>
      <c r="D482" s="2">
        <v>392.8</v>
      </c>
      <c r="E482" s="1">
        <v>7959.69</v>
      </c>
      <c r="F482" s="1">
        <f>Tabela1[[#This Row],[PR.CUSTO+FRETE]]-Tabela1[[#This Row],[FRETE]]</f>
        <v>7516.2187999999996</v>
      </c>
      <c r="G482" s="1">
        <v>11790.01</v>
      </c>
      <c r="H482" s="1">
        <f>Tabela1[[#This Row],[PESO UND]]/1000*(1129)</f>
        <v>443.47120000000007</v>
      </c>
      <c r="I482" s="1"/>
    </row>
    <row r="483" spans="1:9" x14ac:dyDescent="0.25">
      <c r="A483">
        <v>628</v>
      </c>
      <c r="B483" t="s">
        <v>466</v>
      </c>
      <c r="C483" t="str">
        <f t="shared" si="7"/>
        <v>62,4</v>
      </c>
      <c r="D483" s="2">
        <v>1610.15</v>
      </c>
      <c r="E483" s="1">
        <v>8947.2199999999993</v>
      </c>
      <c r="F483" s="1">
        <f>Tabela1[[#This Row],[PR.CUSTO+FRETE]]-Tabela1[[#This Row],[FRETE]]</f>
        <v>7129.3606499999987</v>
      </c>
      <c r="G483" s="1">
        <v>15451.66</v>
      </c>
      <c r="H483" s="1">
        <f>Tabela1[[#This Row],[PESO UND]]/1000*(1129)</f>
        <v>1817.8593500000002</v>
      </c>
      <c r="I483" s="1"/>
    </row>
    <row r="484" spans="1:9" x14ac:dyDescent="0.25">
      <c r="A484">
        <v>627</v>
      </c>
      <c r="B484" t="s">
        <v>467</v>
      </c>
      <c r="C484" t="str">
        <f t="shared" si="7"/>
        <v>62,4</v>
      </c>
      <c r="D484" s="2">
        <v>297.3</v>
      </c>
      <c r="E484" s="1">
        <v>2192.67</v>
      </c>
      <c r="F484" s="1">
        <f>Tabela1[[#This Row],[PR.CUSTO+FRETE]]-Tabela1[[#This Row],[FRETE]]</f>
        <v>1857.0183000000002</v>
      </c>
      <c r="G484" s="1">
        <v>3794.66</v>
      </c>
      <c r="H484" s="1">
        <f>Tabela1[[#This Row],[PESO UND]]/1000*(1129)</f>
        <v>335.65170000000001</v>
      </c>
      <c r="I484" s="1"/>
    </row>
    <row r="485" spans="1:9" x14ac:dyDescent="0.25">
      <c r="A485">
        <v>626</v>
      </c>
      <c r="B485" t="s">
        <v>468</v>
      </c>
      <c r="C485" t="str">
        <f t="shared" si="7"/>
        <v>62,4</v>
      </c>
      <c r="D485" s="2">
        <v>1362</v>
      </c>
      <c r="E485" s="1">
        <v>7384.21</v>
      </c>
      <c r="F485" s="1">
        <f>Tabela1[[#This Row],[PR.CUSTO+FRETE]]-Tabela1[[#This Row],[FRETE]]</f>
        <v>5846.5119999999997</v>
      </c>
      <c r="G485" s="1">
        <v>12465.59</v>
      </c>
      <c r="H485" s="1">
        <f>Tabela1[[#This Row],[PESO UND]]/1000*(1129)</f>
        <v>1537.6980000000001</v>
      </c>
      <c r="I485" s="1"/>
    </row>
    <row r="486" spans="1:9" x14ac:dyDescent="0.25">
      <c r="A486">
        <v>622</v>
      </c>
      <c r="B486" t="s">
        <v>469</v>
      </c>
      <c r="C486" t="str">
        <f t="shared" si="7"/>
        <v>62,4</v>
      </c>
      <c r="D486" s="2">
        <v>4716.2299999999996</v>
      </c>
      <c r="E486" s="1">
        <v>25253.17</v>
      </c>
      <c r="F486" s="1">
        <f>Tabela1[[#This Row],[PR.CUSTO+FRETE]]-Tabela1[[#This Row],[FRETE]]</f>
        <v>19928.546329999997</v>
      </c>
      <c r="G486" s="1">
        <v>41309.410000000003</v>
      </c>
      <c r="H486" s="1">
        <f>Tabela1[[#This Row],[PESO UND]]/1000*(1129)</f>
        <v>5324.623669999999</v>
      </c>
      <c r="I486" s="1"/>
    </row>
    <row r="487" spans="1:9" x14ac:dyDescent="0.25">
      <c r="A487">
        <v>625</v>
      </c>
      <c r="B487" t="s">
        <v>470</v>
      </c>
      <c r="C487" t="str">
        <f t="shared" si="7"/>
        <v>62,4</v>
      </c>
      <c r="D487" s="2">
        <v>48.75</v>
      </c>
      <c r="E487" s="1">
        <v>2128.15</v>
      </c>
      <c r="F487" s="1">
        <f>Tabela1[[#This Row],[PR.CUSTO+FRETE]]-Tabela1[[#This Row],[FRETE]]</f>
        <v>2073.1112499999999</v>
      </c>
      <c r="G487" s="1">
        <v>3272.63</v>
      </c>
      <c r="H487" s="1">
        <f>Tabela1[[#This Row],[PESO UND]]/1000*(1129)</f>
        <v>55.03875</v>
      </c>
      <c r="I487" s="1"/>
    </row>
    <row r="488" spans="1:9" x14ac:dyDescent="0.25">
      <c r="A488">
        <v>624</v>
      </c>
      <c r="B488" t="s">
        <v>471</v>
      </c>
      <c r="C488" t="str">
        <f t="shared" si="7"/>
        <v>62,4</v>
      </c>
      <c r="D488" s="2">
        <v>460.3</v>
      </c>
      <c r="E488" s="1">
        <v>9725.5</v>
      </c>
      <c r="F488" s="1">
        <f>Tabela1[[#This Row],[PR.CUSTO+FRETE]]-Tabela1[[#This Row],[FRETE]]</f>
        <v>9205.8212999999996</v>
      </c>
      <c r="G488" s="1">
        <v>14433.14</v>
      </c>
      <c r="H488" s="1">
        <f>Tabela1[[#This Row],[PESO UND]]/1000*(1129)</f>
        <v>519.67869999999994</v>
      </c>
      <c r="I488" s="1"/>
    </row>
    <row r="489" spans="1:9" x14ac:dyDescent="0.25">
      <c r="A489">
        <v>623</v>
      </c>
      <c r="B489" t="s">
        <v>472</v>
      </c>
      <c r="C489" t="str">
        <f t="shared" si="7"/>
        <v>62,4</v>
      </c>
      <c r="D489" s="2">
        <v>460.3</v>
      </c>
      <c r="E489" s="1">
        <v>9401.2999999999993</v>
      </c>
      <c r="F489" s="1">
        <f>Tabela1[[#This Row],[PR.CUSTO+FRETE]]-Tabela1[[#This Row],[FRETE]]</f>
        <v>8881.6212999999989</v>
      </c>
      <c r="G489" s="1">
        <v>13921.33</v>
      </c>
      <c r="H489" s="1">
        <f>Tabela1[[#This Row],[PESO UND]]/1000*(1129)</f>
        <v>519.67869999999994</v>
      </c>
      <c r="I489" s="1"/>
    </row>
    <row r="490" spans="1:9" x14ac:dyDescent="0.25">
      <c r="A490">
        <v>315</v>
      </c>
      <c r="B490" t="s">
        <v>473</v>
      </c>
      <c r="C490" t="str">
        <f t="shared" si="7"/>
        <v>69,1</v>
      </c>
      <c r="D490" s="2">
        <v>6028.29</v>
      </c>
      <c r="E490" s="1">
        <v>36832.74</v>
      </c>
      <c r="F490" s="1">
        <f>Tabela1[[#This Row],[PR.CUSTO+FRETE]]-Tabela1[[#This Row],[FRETE]]</f>
        <v>30026.800589999999</v>
      </c>
      <c r="G490" s="1">
        <v>59833.87</v>
      </c>
      <c r="H490" s="1">
        <f>Tabela1[[#This Row],[PESO UND]]/1000*(1129)</f>
        <v>6805.93941</v>
      </c>
      <c r="I490" s="1"/>
    </row>
    <row r="491" spans="1:9" x14ac:dyDescent="0.25">
      <c r="A491">
        <v>695</v>
      </c>
      <c r="B491" t="s">
        <v>474</v>
      </c>
      <c r="C491" t="str">
        <f t="shared" si="7"/>
        <v>69,1</v>
      </c>
      <c r="D491" s="2">
        <v>1766.2</v>
      </c>
      <c r="E491" s="1">
        <v>10169.98</v>
      </c>
      <c r="F491" s="1">
        <f>Tabela1[[#This Row],[PR.CUSTO+FRETE]]-Tabela1[[#This Row],[FRETE]]</f>
        <v>8175.9401999999991</v>
      </c>
      <c r="G491" s="1">
        <v>17764.59</v>
      </c>
      <c r="H491" s="1">
        <f>Tabela1[[#This Row],[PESO UND]]/1000*(1129)</f>
        <v>1994.0398</v>
      </c>
      <c r="I491" s="1"/>
    </row>
    <row r="492" spans="1:9" x14ac:dyDescent="0.25">
      <c r="A492">
        <v>319</v>
      </c>
      <c r="B492" t="s">
        <v>475</v>
      </c>
      <c r="C492" t="str">
        <f t="shared" si="7"/>
        <v>69,1</v>
      </c>
      <c r="D492" s="2">
        <v>2385</v>
      </c>
      <c r="E492" s="1">
        <v>12755.2</v>
      </c>
      <c r="F492" s="1">
        <f>Tabela1[[#This Row],[PR.CUSTO+FRETE]]-Tabela1[[#This Row],[FRETE]]</f>
        <v>10062.535</v>
      </c>
      <c r="G492" s="1">
        <v>21555.39</v>
      </c>
      <c r="H492" s="1">
        <f>Tabela1[[#This Row],[PESO UND]]/1000*(1129)</f>
        <v>2692.665</v>
      </c>
      <c r="I492" s="1"/>
    </row>
    <row r="493" spans="1:9" x14ac:dyDescent="0.25">
      <c r="A493">
        <v>318</v>
      </c>
      <c r="B493" t="s">
        <v>476</v>
      </c>
      <c r="C493" t="str">
        <f t="shared" si="7"/>
        <v>69,1</v>
      </c>
      <c r="D493" s="2">
        <v>75</v>
      </c>
      <c r="E493" s="1">
        <v>3274.08</v>
      </c>
      <c r="F493" s="1">
        <f>Tabela1[[#This Row],[PR.CUSTO+FRETE]]-Tabela1[[#This Row],[FRETE]]</f>
        <v>3189.4049999999997</v>
      </c>
      <c r="G493" s="1">
        <v>5034.82</v>
      </c>
      <c r="H493" s="1">
        <f>Tabela1[[#This Row],[PESO UND]]/1000*(1129)</f>
        <v>84.674999999999997</v>
      </c>
      <c r="I493" s="1"/>
    </row>
    <row r="494" spans="1:9" x14ac:dyDescent="0.25">
      <c r="A494">
        <v>317</v>
      </c>
      <c r="B494" t="s">
        <v>477</v>
      </c>
      <c r="C494" t="str">
        <f t="shared" si="7"/>
        <v>69,1</v>
      </c>
      <c r="D494" s="2">
        <v>244</v>
      </c>
      <c r="E494" s="1">
        <v>5152.3900000000003</v>
      </c>
      <c r="F494" s="1">
        <f>Tabela1[[#This Row],[PR.CUSTO+FRETE]]-Tabela1[[#This Row],[FRETE]]</f>
        <v>4876.9140000000007</v>
      </c>
      <c r="G494" s="1">
        <v>7646.86</v>
      </c>
      <c r="H494" s="1">
        <f>Tabela1[[#This Row],[PESO UND]]/1000*(1129)</f>
        <v>275.476</v>
      </c>
      <c r="I494" s="1"/>
    </row>
    <row r="495" spans="1:9" x14ac:dyDescent="0.25">
      <c r="A495">
        <v>316</v>
      </c>
      <c r="B495" t="s">
        <v>478</v>
      </c>
      <c r="C495" t="str">
        <f t="shared" si="7"/>
        <v>69,1</v>
      </c>
      <c r="D495" s="2">
        <v>244</v>
      </c>
      <c r="E495" s="1">
        <v>4981.03</v>
      </c>
      <c r="F495" s="1">
        <f>Tabela1[[#This Row],[PR.CUSTO+FRETE]]-Tabela1[[#This Row],[FRETE]]</f>
        <v>4705.5540000000001</v>
      </c>
      <c r="G495" s="1">
        <v>7376.36</v>
      </c>
      <c r="H495" s="1">
        <f>Tabela1[[#This Row],[PESO UND]]/1000*(1129)</f>
        <v>275.476</v>
      </c>
      <c r="I495" s="1"/>
    </row>
    <row r="496" spans="1:9" x14ac:dyDescent="0.25">
      <c r="A496">
        <v>537</v>
      </c>
      <c r="B496" t="s">
        <v>948</v>
      </c>
      <c r="C496" t="str">
        <f t="shared" si="7"/>
        <v>98,2</v>
      </c>
      <c r="D496" s="2">
        <v>6479.13</v>
      </c>
      <c r="E496" s="1">
        <v>38369.269999999997</v>
      </c>
      <c r="F496" s="1">
        <f>Tabela1[[#This Row],[PR.CUSTO+FRETE]]-Tabela1[[#This Row],[FRETE]]</f>
        <v>31054.332229999996</v>
      </c>
      <c r="G496" s="1">
        <v>62078.2</v>
      </c>
      <c r="H496" s="1">
        <f>Tabela1[[#This Row],[PESO UND]]/1000*(1129)</f>
        <v>7314.9377700000005</v>
      </c>
      <c r="I496" s="1"/>
    </row>
    <row r="497" spans="1:9" x14ac:dyDescent="0.25">
      <c r="A497">
        <v>539</v>
      </c>
      <c r="B497" t="s">
        <v>479</v>
      </c>
      <c r="C497" t="str">
        <f t="shared" si="7"/>
        <v/>
      </c>
      <c r="D497" s="2">
        <v>2575.9</v>
      </c>
      <c r="E497" s="1">
        <v>14248.63</v>
      </c>
      <c r="F497" s="1">
        <f>Tabela1[[#This Row],[PR.CUSTO+FRETE]]-Tabela1[[#This Row],[FRETE]]</f>
        <v>11340.438899999999</v>
      </c>
      <c r="G497" s="1">
        <v>24605.98</v>
      </c>
      <c r="H497" s="1">
        <f>Tabela1[[#This Row],[PESO UND]]/1000*(1129)</f>
        <v>2908.1911000000005</v>
      </c>
      <c r="I497" s="1"/>
    </row>
    <row r="498" spans="1:9" x14ac:dyDescent="0.25">
      <c r="A498">
        <v>538</v>
      </c>
      <c r="B498" t="s">
        <v>480</v>
      </c>
      <c r="C498" t="str">
        <f t="shared" si="7"/>
        <v/>
      </c>
      <c r="D498" s="2">
        <v>477</v>
      </c>
      <c r="E498" s="1">
        <v>3615</v>
      </c>
      <c r="F498" s="1">
        <f>Tabela1[[#This Row],[PR.CUSTO+FRETE]]-Tabela1[[#This Row],[FRETE]]</f>
        <v>3076.4670000000001</v>
      </c>
      <c r="G498" s="1">
        <v>6234.26</v>
      </c>
      <c r="H498" s="1">
        <f>Tabela1[[#This Row],[PESO UND]]/1000*(1129)</f>
        <v>538.53300000000002</v>
      </c>
      <c r="I498" s="1"/>
    </row>
    <row r="499" spans="1:9" x14ac:dyDescent="0.25">
      <c r="A499">
        <v>543</v>
      </c>
      <c r="B499" t="s">
        <v>481</v>
      </c>
      <c r="C499" t="str">
        <f t="shared" si="7"/>
        <v/>
      </c>
      <c r="D499" s="2">
        <v>2211</v>
      </c>
      <c r="E499" s="1">
        <v>11901.04</v>
      </c>
      <c r="F499" s="1">
        <f>Tabela1[[#This Row],[PR.CUSTO+FRETE]]-Tabela1[[#This Row],[FRETE]]</f>
        <v>9404.8209999999999</v>
      </c>
      <c r="G499" s="1">
        <v>20101.830000000002</v>
      </c>
      <c r="H499" s="1">
        <f>Tabela1[[#This Row],[PESO UND]]/1000*(1129)</f>
        <v>2496.2190000000001</v>
      </c>
      <c r="I499" s="1"/>
    </row>
    <row r="500" spans="1:9" x14ac:dyDescent="0.25">
      <c r="A500">
        <v>542</v>
      </c>
      <c r="B500" t="s">
        <v>482</v>
      </c>
      <c r="C500" t="str">
        <f t="shared" si="7"/>
        <v/>
      </c>
      <c r="D500" s="2">
        <v>71.25</v>
      </c>
      <c r="E500" s="1">
        <v>3110.37</v>
      </c>
      <c r="F500" s="1">
        <f>Tabela1[[#This Row],[PR.CUSTO+FRETE]]-Tabela1[[#This Row],[FRETE]]</f>
        <v>3029.92875</v>
      </c>
      <c r="G500" s="1">
        <v>4783.08</v>
      </c>
      <c r="H500" s="1">
        <f>Tabela1[[#This Row],[PESO UND]]/1000*(1129)</f>
        <v>80.441249999999997</v>
      </c>
      <c r="I500" s="1"/>
    </row>
    <row r="501" spans="1:9" x14ac:dyDescent="0.25">
      <c r="A501">
        <v>753</v>
      </c>
      <c r="B501" t="s">
        <v>483</v>
      </c>
      <c r="C501" t="str">
        <f t="shared" si="7"/>
        <v/>
      </c>
      <c r="D501" s="2">
        <v>591.29999999999995</v>
      </c>
      <c r="E501" s="1">
        <v>12493.14</v>
      </c>
      <c r="F501" s="1">
        <f>Tabela1[[#This Row],[PR.CUSTO+FRETE]]-Tabela1[[#This Row],[FRETE]]</f>
        <v>11825.5623</v>
      </c>
      <c r="G501" s="1">
        <v>18536.509999999998</v>
      </c>
      <c r="H501" s="1">
        <f>Tabela1[[#This Row],[PESO UND]]/1000*(1129)</f>
        <v>667.57769999999994</v>
      </c>
      <c r="I501" s="1"/>
    </row>
    <row r="502" spans="1:9" x14ac:dyDescent="0.25">
      <c r="A502">
        <v>752</v>
      </c>
      <c r="B502" t="s">
        <v>484</v>
      </c>
      <c r="C502" t="str">
        <f t="shared" si="7"/>
        <v/>
      </c>
      <c r="D502" s="2">
        <v>591.29999999999995</v>
      </c>
      <c r="E502" s="1">
        <v>12076.36</v>
      </c>
      <c r="F502" s="1">
        <f>Tabela1[[#This Row],[PR.CUSTO+FRETE]]-Tabela1[[#This Row],[FRETE]]</f>
        <v>11408.782300000001</v>
      </c>
      <c r="G502" s="1">
        <v>17878.599999999999</v>
      </c>
      <c r="H502" s="1">
        <f>Tabela1[[#This Row],[PESO UND]]/1000*(1129)</f>
        <v>667.57769999999994</v>
      </c>
      <c r="I502" s="1"/>
    </row>
    <row r="503" spans="1:9" x14ac:dyDescent="0.25">
      <c r="A503">
        <v>910</v>
      </c>
      <c r="B503" t="s">
        <v>485</v>
      </c>
      <c r="C503" t="str">
        <f t="shared" si="7"/>
        <v>71,9</v>
      </c>
      <c r="D503" s="2">
        <v>1334.35</v>
      </c>
      <c r="E503" s="1">
        <v>6839.67</v>
      </c>
      <c r="F503" s="1">
        <f>Tabela1[[#This Row],[PR.CUSTO+FRETE]]-Tabela1[[#This Row],[FRETE]]</f>
        <v>5333.1888500000005</v>
      </c>
      <c r="G503" s="1">
        <v>11558.23</v>
      </c>
      <c r="H503" s="1">
        <f>Tabela1[[#This Row],[PESO UND]]/1000*(1129)</f>
        <v>1506.4811499999998</v>
      </c>
      <c r="I503" s="1"/>
    </row>
    <row r="504" spans="1:9" x14ac:dyDescent="0.25">
      <c r="A504">
        <v>909</v>
      </c>
      <c r="B504" t="s">
        <v>486</v>
      </c>
      <c r="C504" t="str">
        <f t="shared" si="7"/>
        <v>71,9</v>
      </c>
      <c r="D504" s="2">
        <v>145.6</v>
      </c>
      <c r="E504" s="1">
        <v>1502.45</v>
      </c>
      <c r="F504" s="1">
        <f>Tabela1[[#This Row],[PR.CUSTO+FRETE]]-Tabela1[[#This Row],[FRETE]]</f>
        <v>1338.0676000000001</v>
      </c>
      <c r="G504" s="1">
        <v>2500.37</v>
      </c>
      <c r="H504" s="1">
        <f>Tabela1[[#This Row],[PESO UND]]/1000*(1129)</f>
        <v>164.38240000000002</v>
      </c>
      <c r="I504" s="1"/>
    </row>
    <row r="505" spans="1:9" x14ac:dyDescent="0.25">
      <c r="A505">
        <v>908</v>
      </c>
      <c r="B505" t="s">
        <v>487</v>
      </c>
      <c r="C505" t="str">
        <f t="shared" si="7"/>
        <v>71,9</v>
      </c>
      <c r="D505" s="2">
        <v>1344</v>
      </c>
      <c r="E505" s="1">
        <v>7295.85</v>
      </c>
      <c r="F505" s="1">
        <f>Tabela1[[#This Row],[PR.CUSTO+FRETE]]-Tabela1[[#This Row],[FRETE]]</f>
        <v>5778.4740000000002</v>
      </c>
      <c r="G505" s="1">
        <v>12315.22</v>
      </c>
      <c r="H505" s="1">
        <f>Tabela1[[#This Row],[PESO UND]]/1000*(1129)</f>
        <v>1517.3760000000002</v>
      </c>
      <c r="I505" s="1"/>
    </row>
    <row r="506" spans="1:9" x14ac:dyDescent="0.25">
      <c r="A506">
        <v>903</v>
      </c>
      <c r="B506" t="s">
        <v>488</v>
      </c>
      <c r="C506" t="str">
        <f t="shared" si="7"/>
        <v>71,9</v>
      </c>
      <c r="D506" s="2">
        <v>4777.6899999999996</v>
      </c>
      <c r="E506" s="1">
        <v>26495.43</v>
      </c>
      <c r="F506" s="1">
        <f>Tabela1[[#This Row],[PR.CUSTO+FRETE]]-Tabela1[[#This Row],[FRETE]]</f>
        <v>21101.417990000002</v>
      </c>
      <c r="G506" s="1">
        <v>42868.88</v>
      </c>
      <c r="H506" s="1">
        <f>Tabela1[[#This Row],[PESO UND]]/1000*(1129)</f>
        <v>5394.0120099999995</v>
      </c>
      <c r="I506" s="1"/>
    </row>
    <row r="507" spans="1:9" x14ac:dyDescent="0.25">
      <c r="A507">
        <v>907</v>
      </c>
      <c r="B507" t="s">
        <v>489</v>
      </c>
      <c r="C507" t="str">
        <f t="shared" si="7"/>
        <v>71,9</v>
      </c>
      <c r="D507" s="2">
        <v>48.75</v>
      </c>
      <c r="E507" s="1">
        <v>2128.15</v>
      </c>
      <c r="F507" s="1">
        <f>Tabela1[[#This Row],[PR.CUSTO+FRETE]]-Tabela1[[#This Row],[FRETE]]</f>
        <v>2073.1112499999999</v>
      </c>
      <c r="G507" s="1">
        <v>3272.63</v>
      </c>
      <c r="H507" s="1">
        <f>Tabela1[[#This Row],[PESO UND]]/1000*(1129)</f>
        <v>55.03875</v>
      </c>
      <c r="I507" s="1"/>
    </row>
    <row r="508" spans="1:9" x14ac:dyDescent="0.25">
      <c r="A508">
        <v>905</v>
      </c>
      <c r="B508" t="s">
        <v>490</v>
      </c>
      <c r="C508" t="str">
        <f t="shared" si="7"/>
        <v>71,9</v>
      </c>
      <c r="D508" s="2">
        <v>493.8</v>
      </c>
      <c r="E508" s="1">
        <v>10321.31</v>
      </c>
      <c r="F508" s="1">
        <f>Tabela1[[#This Row],[PR.CUSTO+FRETE]]-Tabela1[[#This Row],[FRETE]]</f>
        <v>9763.8097999999991</v>
      </c>
      <c r="G508" s="1">
        <v>15311.27</v>
      </c>
      <c r="H508" s="1">
        <f>Tabela1[[#This Row],[PESO UND]]/1000*(1129)</f>
        <v>557.50020000000006</v>
      </c>
      <c r="I508" s="1"/>
    </row>
    <row r="509" spans="1:9" x14ac:dyDescent="0.25">
      <c r="A509">
        <v>904</v>
      </c>
      <c r="B509" t="s">
        <v>491</v>
      </c>
      <c r="C509" t="str">
        <f t="shared" si="7"/>
        <v>71,9</v>
      </c>
      <c r="D509" s="2">
        <v>493.8</v>
      </c>
      <c r="E509" s="1">
        <v>9973.3799999999992</v>
      </c>
      <c r="F509" s="1">
        <f>Tabela1[[#This Row],[PR.CUSTO+FRETE]]-Tabela1[[#This Row],[FRETE]]</f>
        <v>9415.8797999999988</v>
      </c>
      <c r="G509" s="1">
        <v>14762.05</v>
      </c>
      <c r="H509" s="1">
        <f>Tabela1[[#This Row],[PESO UND]]/1000*(1129)</f>
        <v>557.50020000000006</v>
      </c>
      <c r="I509" s="1"/>
    </row>
    <row r="510" spans="1:9" x14ac:dyDescent="0.25">
      <c r="A510">
        <v>889</v>
      </c>
      <c r="B510" t="s">
        <v>492</v>
      </c>
      <c r="C510" t="str">
        <f t="shared" si="7"/>
        <v>62,2</v>
      </c>
      <c r="D510" s="2">
        <v>5565.81</v>
      </c>
      <c r="E510" s="1">
        <v>34121.01</v>
      </c>
      <c r="F510" s="1">
        <f>Tabela1[[#This Row],[PR.CUSTO+FRETE]]-Tabela1[[#This Row],[FRETE]]</f>
        <v>27837.210510000001</v>
      </c>
      <c r="G510" s="1">
        <v>55765.41</v>
      </c>
      <c r="H510" s="1">
        <f>Tabela1[[#This Row],[PESO UND]]/1000*(1129)</f>
        <v>6283.7994900000012</v>
      </c>
      <c r="I510" s="1"/>
    </row>
    <row r="511" spans="1:9" x14ac:dyDescent="0.25">
      <c r="A511">
        <v>895</v>
      </c>
      <c r="B511" t="s">
        <v>493</v>
      </c>
      <c r="C511" t="str">
        <f t="shared" si="7"/>
        <v>62,2</v>
      </c>
      <c r="D511" s="2">
        <v>1454.75</v>
      </c>
      <c r="E511" s="1">
        <v>8645.2099999999991</v>
      </c>
      <c r="F511" s="1">
        <f>Tabela1[[#This Row],[PR.CUSTO+FRETE]]-Tabela1[[#This Row],[FRETE]]</f>
        <v>7002.7972499999996</v>
      </c>
      <c r="G511" s="1">
        <v>15171.92</v>
      </c>
      <c r="H511" s="1">
        <f>Tabela1[[#This Row],[PESO UND]]/1000*(1129)</f>
        <v>1642.41275</v>
      </c>
      <c r="I511" s="1"/>
    </row>
    <row r="512" spans="1:9" x14ac:dyDescent="0.25">
      <c r="A512">
        <v>894</v>
      </c>
      <c r="B512" t="s">
        <v>494</v>
      </c>
      <c r="C512" t="str">
        <f t="shared" si="7"/>
        <v>62,2</v>
      </c>
      <c r="D512" s="2">
        <v>310.3</v>
      </c>
      <c r="E512" s="1">
        <v>2269.9499999999998</v>
      </c>
      <c r="F512" s="1">
        <f>Tabela1[[#This Row],[PR.CUSTO+FRETE]]-Tabela1[[#This Row],[FRETE]]</f>
        <v>1919.6212999999998</v>
      </c>
      <c r="G512" s="1">
        <v>3933.01</v>
      </c>
      <c r="H512" s="1">
        <f>Tabela1[[#This Row],[PESO UND]]/1000*(1129)</f>
        <v>350.32870000000003</v>
      </c>
      <c r="I512" s="1"/>
    </row>
    <row r="513" spans="1:9" x14ac:dyDescent="0.25">
      <c r="A513">
        <v>893</v>
      </c>
      <c r="B513" t="s">
        <v>495</v>
      </c>
      <c r="C513" t="str">
        <f t="shared" si="7"/>
        <v>62,2</v>
      </c>
      <c r="D513" s="2">
        <v>1495</v>
      </c>
      <c r="E513" s="1">
        <v>8153.47</v>
      </c>
      <c r="F513" s="1">
        <f>Tabela1[[#This Row],[PR.CUSTO+FRETE]]-Tabela1[[#This Row],[FRETE]]</f>
        <v>6465.6149999999998</v>
      </c>
      <c r="G513" s="1">
        <v>13757.93</v>
      </c>
      <c r="H513" s="1">
        <f>Tabela1[[#This Row],[PESO UND]]/1000*(1129)</f>
        <v>1687.855</v>
      </c>
      <c r="I513" s="1"/>
    </row>
    <row r="514" spans="1:9" x14ac:dyDescent="0.25">
      <c r="A514">
        <v>892</v>
      </c>
      <c r="B514" t="s">
        <v>496</v>
      </c>
      <c r="C514" t="str">
        <f t="shared" ref="C514:C577" si="8">IFERROR(MID(B514,FIND("(",B514)+1,4),"")</f>
        <v>62,2</v>
      </c>
      <c r="D514" s="2">
        <v>56.25</v>
      </c>
      <c r="E514" s="1">
        <v>2455.56</v>
      </c>
      <c r="F514" s="1">
        <f>Tabela1[[#This Row],[PR.CUSTO+FRETE]]-Tabela1[[#This Row],[FRETE]]</f>
        <v>2392.05375</v>
      </c>
      <c r="G514" s="1">
        <v>3776.12</v>
      </c>
      <c r="H514" s="1">
        <f>Tabela1[[#This Row],[PESO UND]]/1000*(1129)</f>
        <v>63.506250000000001</v>
      </c>
      <c r="I514" s="1"/>
    </row>
    <row r="515" spans="1:9" x14ac:dyDescent="0.25">
      <c r="A515">
        <v>890</v>
      </c>
      <c r="B515" t="s">
        <v>497</v>
      </c>
      <c r="C515" t="str">
        <f t="shared" si="8"/>
        <v>62,2</v>
      </c>
      <c r="D515" s="2">
        <v>551.70000000000005</v>
      </c>
      <c r="E515" s="1">
        <v>11257.25</v>
      </c>
      <c r="F515" s="1">
        <f>Tabela1[[#This Row],[PR.CUSTO+FRETE]]-Tabela1[[#This Row],[FRETE]]</f>
        <v>10634.3807</v>
      </c>
      <c r="G515" s="1">
        <v>16666.830000000002</v>
      </c>
      <c r="H515" s="1">
        <f>Tabela1[[#This Row],[PESO UND]]/1000*(1129)</f>
        <v>622.86930000000007</v>
      </c>
      <c r="I515" s="1"/>
    </row>
    <row r="516" spans="1:9" x14ac:dyDescent="0.25">
      <c r="A516">
        <v>891</v>
      </c>
      <c r="B516" t="s">
        <v>498</v>
      </c>
      <c r="C516" t="str">
        <f t="shared" si="8"/>
        <v>69,2</v>
      </c>
      <c r="D516" s="2">
        <v>551.70000000000005</v>
      </c>
      <c r="E516" s="1">
        <v>11646.03</v>
      </c>
      <c r="F516" s="1">
        <f>Tabela1[[#This Row],[PR.CUSTO+FRETE]]-Tabela1[[#This Row],[FRETE]]</f>
        <v>11023.1607</v>
      </c>
      <c r="G516" s="1">
        <v>17280.54</v>
      </c>
      <c r="H516" s="1">
        <f>Tabela1[[#This Row],[PESO UND]]/1000*(1129)</f>
        <v>622.86930000000007</v>
      </c>
      <c r="I516" s="1"/>
    </row>
    <row r="517" spans="1:9" x14ac:dyDescent="0.25">
      <c r="A517">
        <v>248</v>
      </c>
      <c r="B517" t="s">
        <v>499</v>
      </c>
      <c r="C517" t="str">
        <f t="shared" si="8"/>
        <v>77,8</v>
      </c>
      <c r="D517" s="2">
        <v>5964.48</v>
      </c>
      <c r="E517" s="1">
        <v>31836.05</v>
      </c>
      <c r="F517" s="1">
        <f>Tabela1[[#This Row],[PR.CUSTO+FRETE]]-Tabela1[[#This Row],[FRETE]]</f>
        <v>25102.15208</v>
      </c>
      <c r="G517" s="1">
        <v>51605.62</v>
      </c>
      <c r="H517" s="1">
        <f>Tabela1[[#This Row],[PESO UND]]/1000*(1129)</f>
        <v>6733.8979200000003</v>
      </c>
      <c r="I517" s="1"/>
    </row>
    <row r="518" spans="1:9" x14ac:dyDescent="0.25">
      <c r="A518">
        <v>679</v>
      </c>
      <c r="B518" t="s">
        <v>500</v>
      </c>
      <c r="C518" t="str">
        <f t="shared" si="8"/>
        <v>77,8</v>
      </c>
      <c r="D518" s="2">
        <v>428.45</v>
      </c>
      <c r="E518" s="1">
        <v>3113.68</v>
      </c>
      <c r="F518" s="1">
        <f>Tabela1[[#This Row],[PR.CUSTO+FRETE]]-Tabela1[[#This Row],[FRETE]]</f>
        <v>2629.9599499999999</v>
      </c>
      <c r="G518" s="1">
        <v>5402.19</v>
      </c>
      <c r="H518" s="1">
        <f>Tabela1[[#This Row],[PESO UND]]/1000*(1129)</f>
        <v>483.72005000000001</v>
      </c>
      <c r="I518" s="1"/>
    </row>
    <row r="519" spans="1:9" x14ac:dyDescent="0.25">
      <c r="A519">
        <v>678</v>
      </c>
      <c r="B519" t="s">
        <v>501</v>
      </c>
      <c r="C519" t="str">
        <f t="shared" si="8"/>
        <v>77,8</v>
      </c>
      <c r="D519" s="2">
        <v>1952</v>
      </c>
      <c r="E519" s="1">
        <v>10513.25</v>
      </c>
      <c r="F519" s="1">
        <f>Tabela1[[#This Row],[PR.CUSTO+FRETE]]-Tabela1[[#This Row],[FRETE]]</f>
        <v>8309.4419999999991</v>
      </c>
      <c r="G519" s="1">
        <v>17756.91</v>
      </c>
      <c r="H519" s="1">
        <f>Tabela1[[#This Row],[PESO UND]]/1000*(1129)</f>
        <v>2203.808</v>
      </c>
      <c r="I519" s="1"/>
    </row>
    <row r="520" spans="1:9" x14ac:dyDescent="0.25">
      <c r="A520">
        <v>251</v>
      </c>
      <c r="B520" t="s">
        <v>502</v>
      </c>
      <c r="C520" t="str">
        <f t="shared" si="8"/>
        <v>77,8</v>
      </c>
      <c r="D520" s="2">
        <v>67.5</v>
      </c>
      <c r="E520" s="1">
        <v>2221.64</v>
      </c>
      <c r="F520" s="1">
        <f>Tabela1[[#This Row],[PR.CUSTO+FRETE]]-Tabela1[[#This Row],[FRETE]]</f>
        <v>2145.4324999999999</v>
      </c>
      <c r="G520" s="1">
        <v>3391.64</v>
      </c>
      <c r="H520" s="1">
        <f>Tabela1[[#This Row],[PESO UND]]/1000*(1129)</f>
        <v>76.20750000000001</v>
      </c>
      <c r="I520" s="1"/>
    </row>
    <row r="521" spans="1:9" x14ac:dyDescent="0.25">
      <c r="A521">
        <v>250</v>
      </c>
      <c r="B521" t="s">
        <v>503</v>
      </c>
      <c r="C521" t="str">
        <f t="shared" si="8"/>
        <v>77,8</v>
      </c>
      <c r="D521" s="2">
        <v>493.8</v>
      </c>
      <c r="E521" s="1">
        <v>10494.49</v>
      </c>
      <c r="F521" s="1">
        <f>Tabela1[[#This Row],[PR.CUSTO+FRETE]]-Tabela1[[#This Row],[FRETE]]</f>
        <v>9936.9897999999994</v>
      </c>
      <c r="G521" s="1">
        <v>15573.07</v>
      </c>
      <c r="H521" s="1">
        <f>Tabela1[[#This Row],[PESO UND]]/1000*(1129)</f>
        <v>557.50020000000006</v>
      </c>
      <c r="I521" s="1"/>
    </row>
    <row r="522" spans="1:9" x14ac:dyDescent="0.25">
      <c r="A522">
        <v>249</v>
      </c>
      <c r="B522" t="s">
        <v>504</v>
      </c>
      <c r="C522" t="str">
        <f t="shared" si="8"/>
        <v>77,8</v>
      </c>
      <c r="D522" s="2">
        <v>493.8</v>
      </c>
      <c r="E522" s="1">
        <v>10146.56</v>
      </c>
      <c r="F522" s="1">
        <f>Tabela1[[#This Row],[PR.CUSTO+FRETE]]-Tabela1[[#This Row],[FRETE]]</f>
        <v>9589.0597999999991</v>
      </c>
      <c r="G522" s="1">
        <v>15023.85</v>
      </c>
      <c r="H522" s="1">
        <f>Tabela1[[#This Row],[PESO UND]]/1000*(1129)</f>
        <v>557.50020000000006</v>
      </c>
      <c r="I522" s="1"/>
    </row>
    <row r="523" spans="1:9" x14ac:dyDescent="0.25">
      <c r="A523">
        <v>774</v>
      </c>
      <c r="B523" t="s">
        <v>505</v>
      </c>
      <c r="C523" t="str">
        <f t="shared" si="8"/>
        <v>79,8</v>
      </c>
      <c r="D523" s="2">
        <v>6303.24</v>
      </c>
      <c r="E523" s="1">
        <v>33766.14</v>
      </c>
      <c r="F523" s="1">
        <f>Tabela1[[#This Row],[PR.CUSTO+FRETE]]-Tabela1[[#This Row],[FRETE]]</f>
        <v>26649.782039999998</v>
      </c>
      <c r="G523" s="1">
        <v>55000.95</v>
      </c>
      <c r="H523" s="1">
        <f>Tabela1[[#This Row],[PESO UND]]/1000*(1129)</f>
        <v>7116.3579599999994</v>
      </c>
      <c r="I523" s="1"/>
    </row>
    <row r="524" spans="1:9" x14ac:dyDescent="0.25">
      <c r="A524">
        <v>780</v>
      </c>
      <c r="B524" t="s">
        <v>506</v>
      </c>
      <c r="C524" t="str">
        <f t="shared" si="8"/>
        <v>79,8</v>
      </c>
      <c r="D524" s="2">
        <v>1490.8</v>
      </c>
      <c r="E524" s="1">
        <v>8645.86</v>
      </c>
      <c r="F524" s="1">
        <f>Tabela1[[#This Row],[PR.CUSTO+FRETE]]-Tabela1[[#This Row],[FRETE]]</f>
        <v>6962.7468000000008</v>
      </c>
      <c r="G524" s="1">
        <v>15083.52</v>
      </c>
      <c r="H524" s="1">
        <f>Tabela1[[#This Row],[PESO UND]]/1000*(1129)</f>
        <v>1683.1131999999998</v>
      </c>
      <c r="I524" s="1"/>
    </row>
    <row r="525" spans="1:9" x14ac:dyDescent="0.25">
      <c r="A525">
        <v>779</v>
      </c>
      <c r="B525" t="s">
        <v>507</v>
      </c>
      <c r="C525" t="str">
        <f t="shared" si="8"/>
        <v>79,8</v>
      </c>
      <c r="D525" s="2">
        <v>394.1</v>
      </c>
      <c r="E525" s="1">
        <v>2839.38</v>
      </c>
      <c r="F525" s="1">
        <f>Tabela1[[#This Row],[PR.CUSTO+FRETE]]-Tabela1[[#This Row],[FRETE]]</f>
        <v>2394.4411</v>
      </c>
      <c r="G525" s="1">
        <v>4928.37</v>
      </c>
      <c r="H525" s="1">
        <f>Tabela1[[#This Row],[PESO UND]]/1000*(1129)</f>
        <v>444.93889999999999</v>
      </c>
      <c r="I525" s="1"/>
    </row>
    <row r="526" spans="1:9" x14ac:dyDescent="0.25">
      <c r="A526">
        <v>778</v>
      </c>
      <c r="B526" t="s">
        <v>508</v>
      </c>
      <c r="C526" t="str">
        <f t="shared" si="8"/>
        <v>79,8</v>
      </c>
      <c r="D526" s="2">
        <v>2048</v>
      </c>
      <c r="E526" s="1">
        <v>10984.51</v>
      </c>
      <c r="F526" s="1">
        <f>Tabela1[[#This Row],[PR.CUSTO+FRETE]]-Tabela1[[#This Row],[FRETE]]</f>
        <v>8672.3179999999993</v>
      </c>
      <c r="G526" s="1">
        <v>18558.87</v>
      </c>
      <c r="H526" s="1">
        <f>Tabela1[[#This Row],[PESO UND]]/1000*(1129)</f>
        <v>2312.192</v>
      </c>
      <c r="I526" s="1"/>
    </row>
    <row r="527" spans="1:9" x14ac:dyDescent="0.25">
      <c r="A527">
        <v>777</v>
      </c>
      <c r="B527" t="s">
        <v>509</v>
      </c>
      <c r="C527" t="str">
        <f t="shared" si="8"/>
        <v>79,8</v>
      </c>
      <c r="D527" s="2">
        <v>64.8</v>
      </c>
      <c r="E527" s="1">
        <v>3127.58</v>
      </c>
      <c r="F527" s="1">
        <f>Tabela1[[#This Row],[PR.CUSTO+FRETE]]-Tabela1[[#This Row],[FRETE]]</f>
        <v>3054.4207999999999</v>
      </c>
      <c r="G527" s="1">
        <v>4821.7299999999996</v>
      </c>
      <c r="H527" s="1">
        <f>Tabela1[[#This Row],[PESO UND]]/1000*(1129)</f>
        <v>73.159199999999998</v>
      </c>
      <c r="I527" s="1"/>
    </row>
    <row r="528" spans="1:9" x14ac:dyDescent="0.25">
      <c r="A528">
        <v>776</v>
      </c>
      <c r="B528" t="s">
        <v>510</v>
      </c>
      <c r="C528" t="str">
        <f t="shared" si="8"/>
        <v>79,8</v>
      </c>
      <c r="D528" s="2">
        <v>542.5</v>
      </c>
      <c r="E528" s="1">
        <v>11439.15</v>
      </c>
      <c r="F528" s="1">
        <f>Tabela1[[#This Row],[PR.CUSTO+FRETE]]-Tabela1[[#This Row],[FRETE]]</f>
        <v>10826.6675</v>
      </c>
      <c r="G528" s="1">
        <v>16974.82</v>
      </c>
      <c r="H528" s="1">
        <f>Tabela1[[#This Row],[PESO UND]]/1000*(1129)</f>
        <v>612.48249999999996</v>
      </c>
      <c r="I528" s="1"/>
    </row>
    <row r="529" spans="1:9" x14ac:dyDescent="0.25">
      <c r="A529">
        <v>775</v>
      </c>
      <c r="B529" t="s">
        <v>511</v>
      </c>
      <c r="C529" t="str">
        <f t="shared" si="8"/>
        <v>79,8</v>
      </c>
      <c r="D529" s="2">
        <v>542.5</v>
      </c>
      <c r="E529" s="1">
        <v>11056.64</v>
      </c>
      <c r="F529" s="1">
        <f>Tabela1[[#This Row],[PR.CUSTO+FRETE]]-Tabela1[[#This Row],[FRETE]]</f>
        <v>10444.157499999999</v>
      </c>
      <c r="G529" s="1">
        <v>16371.01</v>
      </c>
      <c r="H529" s="1">
        <f>Tabela1[[#This Row],[PESO UND]]/1000*(1129)</f>
        <v>612.48249999999996</v>
      </c>
      <c r="I529" s="1"/>
    </row>
    <row r="530" spans="1:9" x14ac:dyDescent="0.25">
      <c r="A530">
        <v>787</v>
      </c>
      <c r="B530" t="s">
        <v>512</v>
      </c>
      <c r="C530" t="str">
        <f t="shared" si="8"/>
        <v>110,</v>
      </c>
      <c r="D530" s="2">
        <v>2026.7</v>
      </c>
      <c r="E530" s="1">
        <v>11024.17</v>
      </c>
      <c r="F530" s="1">
        <f>Tabela1[[#This Row],[PR.CUSTO+FRETE]]-Tabela1[[#This Row],[FRETE]]</f>
        <v>8736.0257000000001</v>
      </c>
      <c r="G530" s="1">
        <v>19002.599999999999</v>
      </c>
      <c r="H530" s="1">
        <f>Tabela1[[#This Row],[PESO UND]]/1000*(1129)</f>
        <v>2288.1442999999999</v>
      </c>
      <c r="I530" s="1"/>
    </row>
    <row r="531" spans="1:9" x14ac:dyDescent="0.25">
      <c r="A531">
        <v>786</v>
      </c>
      <c r="B531" t="s">
        <v>513</v>
      </c>
      <c r="C531" t="str">
        <f t="shared" si="8"/>
        <v>110,</v>
      </c>
      <c r="D531" s="2">
        <v>575.79999999999995</v>
      </c>
      <c r="E531" s="1">
        <v>4202.3</v>
      </c>
      <c r="F531" s="1">
        <f>Tabela1[[#This Row],[PR.CUSTO+FRETE]]-Tabela1[[#This Row],[FRETE]]</f>
        <v>3552.2218000000003</v>
      </c>
      <c r="G531" s="1">
        <v>7285.69</v>
      </c>
      <c r="H531" s="1">
        <f>Tabela1[[#This Row],[PESO UND]]/1000*(1129)</f>
        <v>650.07819999999992</v>
      </c>
      <c r="I531" s="1"/>
    </row>
    <row r="532" spans="1:9" x14ac:dyDescent="0.25">
      <c r="A532">
        <v>785</v>
      </c>
      <c r="B532" t="s">
        <v>514</v>
      </c>
      <c r="C532" t="str">
        <f t="shared" si="8"/>
        <v>110,</v>
      </c>
      <c r="D532" s="2">
        <v>1928</v>
      </c>
      <c r="E532" s="1">
        <v>10395.43</v>
      </c>
      <c r="F532" s="1">
        <f>Tabela1[[#This Row],[PR.CUSTO+FRETE]]-Tabela1[[#This Row],[FRETE]]</f>
        <v>8218.7180000000008</v>
      </c>
      <c r="G532" s="1">
        <v>17556.419999999998</v>
      </c>
      <c r="H532" s="1">
        <f>Tabela1[[#This Row],[PESO UND]]/1000*(1129)</f>
        <v>2176.712</v>
      </c>
      <c r="I532" s="1"/>
    </row>
    <row r="533" spans="1:9" x14ac:dyDescent="0.25">
      <c r="A533">
        <v>781</v>
      </c>
      <c r="B533" t="s">
        <v>515</v>
      </c>
      <c r="C533" t="str">
        <f t="shared" si="8"/>
        <v>110,</v>
      </c>
      <c r="D533" s="2">
        <v>6787.38</v>
      </c>
      <c r="E533" s="1">
        <v>38707.769999999997</v>
      </c>
      <c r="F533" s="1">
        <f>Tabela1[[#This Row],[PR.CUSTO+FRETE]]-Tabela1[[#This Row],[FRETE]]</f>
        <v>31044.817979999996</v>
      </c>
      <c r="G533" s="1">
        <v>62525.05</v>
      </c>
      <c r="H533" s="1">
        <f>Tabela1[[#This Row],[PESO UND]]/1000*(1129)</f>
        <v>7662.9520199999997</v>
      </c>
      <c r="I533" s="1"/>
    </row>
    <row r="534" spans="1:9" x14ac:dyDescent="0.25">
      <c r="A534">
        <v>784</v>
      </c>
      <c r="B534" t="s">
        <v>516</v>
      </c>
      <c r="C534" t="str">
        <f t="shared" si="8"/>
        <v>110,</v>
      </c>
      <c r="D534" s="2">
        <v>67.5</v>
      </c>
      <c r="E534" s="1">
        <v>2946.67</v>
      </c>
      <c r="F534" s="1">
        <f>Tabela1[[#This Row],[PR.CUSTO+FRETE]]-Tabela1[[#This Row],[FRETE]]</f>
        <v>2870.4625000000001</v>
      </c>
      <c r="G534" s="1">
        <v>4531.34</v>
      </c>
      <c r="H534" s="1">
        <f>Tabela1[[#This Row],[PESO UND]]/1000*(1129)</f>
        <v>76.20750000000001</v>
      </c>
      <c r="I534" s="1"/>
    </row>
    <row r="535" spans="1:9" x14ac:dyDescent="0.25">
      <c r="A535">
        <v>269</v>
      </c>
      <c r="B535" t="s">
        <v>517</v>
      </c>
      <c r="C535" t="str">
        <f t="shared" si="8"/>
        <v>110,</v>
      </c>
      <c r="D535" s="2">
        <v>731.6</v>
      </c>
      <c r="E535" s="1">
        <v>15400.03</v>
      </c>
      <c r="F535" s="1">
        <f>Tabela1[[#This Row],[PR.CUSTO+FRETE]]-Tabela1[[#This Row],[FRETE]]</f>
        <v>14574.053600000001</v>
      </c>
      <c r="G535" s="1">
        <v>22850.23</v>
      </c>
      <c r="H535" s="1">
        <f>Tabela1[[#This Row],[PESO UND]]/1000*(1129)</f>
        <v>825.97640000000001</v>
      </c>
      <c r="I535" s="1"/>
    </row>
    <row r="536" spans="1:9" x14ac:dyDescent="0.25">
      <c r="A536">
        <v>782</v>
      </c>
      <c r="B536" t="s">
        <v>518</v>
      </c>
      <c r="C536" t="str">
        <f t="shared" si="8"/>
        <v>110,</v>
      </c>
      <c r="D536" s="2">
        <v>731.6</v>
      </c>
      <c r="E536" s="1">
        <v>14884.71</v>
      </c>
      <c r="F536" s="1">
        <f>Tabela1[[#This Row],[PR.CUSTO+FRETE]]-Tabela1[[#This Row],[FRETE]]</f>
        <v>14058.7336</v>
      </c>
      <c r="G536" s="1">
        <v>22036.77</v>
      </c>
      <c r="H536" s="1">
        <f>Tabela1[[#This Row],[PESO UND]]/1000*(1129)</f>
        <v>825.97640000000001</v>
      </c>
      <c r="I536" s="1"/>
    </row>
    <row r="537" spans="1:9" x14ac:dyDescent="0.25">
      <c r="A537">
        <v>1042</v>
      </c>
      <c r="B537" t="s">
        <v>519</v>
      </c>
      <c r="C537" t="str">
        <f t="shared" si="8"/>
        <v>126,</v>
      </c>
      <c r="D537" s="2">
        <v>2501.6</v>
      </c>
      <c r="E537" s="1">
        <v>12721.56</v>
      </c>
      <c r="F537" s="1">
        <f>Tabela1[[#This Row],[PR.CUSTO+FRETE]]-Tabela1[[#This Row],[FRETE]]</f>
        <v>9897.2536</v>
      </c>
      <c r="G537" s="1">
        <v>21492.59</v>
      </c>
      <c r="H537" s="1">
        <f>Tabela1[[#This Row],[PESO UND]]/1000*(1129)</f>
        <v>2824.3063999999999</v>
      </c>
      <c r="I537" s="1"/>
    </row>
    <row r="538" spans="1:9" x14ac:dyDescent="0.25">
      <c r="A538">
        <v>1036</v>
      </c>
      <c r="B538" t="s">
        <v>520</v>
      </c>
      <c r="C538" t="str">
        <f t="shared" si="8"/>
        <v>154,</v>
      </c>
      <c r="D538" s="2">
        <v>8598.7900000000009</v>
      </c>
      <c r="E538" s="1">
        <v>48956.59</v>
      </c>
      <c r="F538" s="1">
        <f>Tabela1[[#This Row],[PR.CUSTO+FRETE]]-Tabela1[[#This Row],[FRETE]]</f>
        <v>39248.556089999998</v>
      </c>
      <c r="G538" s="1">
        <v>79819.87</v>
      </c>
      <c r="H538" s="1">
        <f>Tabela1[[#This Row],[PESO UND]]/1000*(1129)</f>
        <v>9708.0339100000019</v>
      </c>
      <c r="I538" s="1"/>
    </row>
    <row r="539" spans="1:9" x14ac:dyDescent="0.25">
      <c r="A539">
        <v>1041</v>
      </c>
      <c r="B539" t="s">
        <v>521</v>
      </c>
      <c r="C539" t="str">
        <f t="shared" si="8"/>
        <v>154,</v>
      </c>
      <c r="D539" s="2">
        <v>600.4</v>
      </c>
      <c r="E539" s="1">
        <v>4606.16</v>
      </c>
      <c r="F539" s="1">
        <f>Tabela1[[#This Row],[PR.CUSTO+FRETE]]-Tabela1[[#This Row],[FRETE]]</f>
        <v>3928.3083999999999</v>
      </c>
      <c r="G539" s="1">
        <v>7929.09</v>
      </c>
      <c r="H539" s="1">
        <f>Tabela1[[#This Row],[PESO UND]]/1000*(1129)</f>
        <v>677.85159999999996</v>
      </c>
      <c r="I539" s="1"/>
    </row>
    <row r="540" spans="1:9" x14ac:dyDescent="0.25">
      <c r="A540">
        <v>1040</v>
      </c>
      <c r="B540" t="s">
        <v>522</v>
      </c>
      <c r="C540" t="str">
        <f t="shared" si="8"/>
        <v>154,</v>
      </c>
      <c r="D540" s="2">
        <v>1808</v>
      </c>
      <c r="E540" s="1">
        <v>9806.35</v>
      </c>
      <c r="F540" s="1">
        <f>Tabela1[[#This Row],[PR.CUSTO+FRETE]]-Tabela1[[#This Row],[FRETE]]</f>
        <v>7765.1180000000004</v>
      </c>
      <c r="G540" s="1">
        <v>16553.96</v>
      </c>
      <c r="H540" s="1">
        <f>Tabela1[[#This Row],[PESO UND]]/1000*(1129)</f>
        <v>2041.232</v>
      </c>
      <c r="I540" s="1"/>
    </row>
    <row r="541" spans="1:9" x14ac:dyDescent="0.25">
      <c r="A541">
        <v>1039</v>
      </c>
      <c r="B541" t="s">
        <v>523</v>
      </c>
      <c r="C541" t="str">
        <f t="shared" si="8"/>
        <v>154,</v>
      </c>
      <c r="D541" s="2">
        <v>64.8</v>
      </c>
      <c r="E541" s="1">
        <v>3127.58</v>
      </c>
      <c r="F541" s="1">
        <f>Tabela1[[#This Row],[PR.CUSTO+FRETE]]-Tabela1[[#This Row],[FRETE]]</f>
        <v>3054.4207999999999</v>
      </c>
      <c r="G541" s="1">
        <v>4821.7299999999996</v>
      </c>
      <c r="H541" s="1">
        <f>Tabela1[[#This Row],[PESO UND]]/1000*(1129)</f>
        <v>73.159199999999998</v>
      </c>
      <c r="I541" s="1"/>
    </row>
    <row r="542" spans="1:9" x14ac:dyDescent="0.25">
      <c r="A542">
        <v>1038</v>
      </c>
      <c r="B542" t="s">
        <v>524</v>
      </c>
      <c r="C542" t="str">
        <f t="shared" si="8"/>
        <v>154,</v>
      </c>
      <c r="D542" s="2">
        <v>795.7</v>
      </c>
      <c r="E542" s="1">
        <v>16310.08</v>
      </c>
      <c r="F542" s="1">
        <f>Tabela1[[#This Row],[PR.CUSTO+FRETE]]-Tabela1[[#This Row],[FRETE]]</f>
        <v>15411.734699999999</v>
      </c>
      <c r="G542" s="1">
        <v>24200.17</v>
      </c>
      <c r="H542" s="1">
        <f>Tabela1[[#This Row],[PESO UND]]/1000*(1129)</f>
        <v>898.34530000000007</v>
      </c>
      <c r="I542" s="1"/>
    </row>
    <row r="543" spans="1:9" x14ac:dyDescent="0.25">
      <c r="A543">
        <v>1037</v>
      </c>
      <c r="B543" t="s">
        <v>525</v>
      </c>
      <c r="C543" t="str">
        <f t="shared" si="8"/>
        <v>154,</v>
      </c>
      <c r="D543" s="2">
        <v>795.7</v>
      </c>
      <c r="E543" s="1">
        <v>15749.93</v>
      </c>
      <c r="F543" s="1">
        <f>Tabela1[[#This Row],[PR.CUSTO+FRETE]]-Tabela1[[#This Row],[FRETE]]</f>
        <v>14851.584699999999</v>
      </c>
      <c r="G543" s="1">
        <v>23315.96</v>
      </c>
      <c r="H543" s="1">
        <f>Tabela1[[#This Row],[PESO UND]]/1000*(1129)</f>
        <v>898.34530000000007</v>
      </c>
      <c r="I543" s="1"/>
    </row>
    <row r="544" spans="1:9" x14ac:dyDescent="0.25">
      <c r="A544">
        <v>1112</v>
      </c>
      <c r="B544" t="s">
        <v>526</v>
      </c>
      <c r="C544" t="str">
        <f t="shared" si="8"/>
        <v>87,1</v>
      </c>
      <c r="D544" s="2">
        <v>8594.1299999999992</v>
      </c>
      <c r="E544" s="1">
        <v>48920.43</v>
      </c>
      <c r="F544" s="1">
        <f>Tabela1[[#This Row],[PR.CUSTO+FRETE]]-Tabela1[[#This Row],[FRETE]]</f>
        <v>39217.657229999997</v>
      </c>
      <c r="G544" s="1">
        <v>80344.42</v>
      </c>
      <c r="H544" s="1">
        <f>Tabela1[[#This Row],[PESO UND]]/1000*(1129)</f>
        <v>9702.7727699999996</v>
      </c>
      <c r="I544" s="1"/>
    </row>
    <row r="545" spans="1:9" x14ac:dyDescent="0.25">
      <c r="A545">
        <v>1116</v>
      </c>
      <c r="B545" t="s">
        <v>527</v>
      </c>
      <c r="C545" t="str">
        <f t="shared" si="8"/>
        <v>87,1</v>
      </c>
      <c r="D545" s="2">
        <v>266.7</v>
      </c>
      <c r="E545" s="1">
        <v>2082.06</v>
      </c>
      <c r="F545" s="1">
        <f>Tabela1[[#This Row],[PR.CUSTO+FRETE]]-Tabela1[[#This Row],[FRETE]]</f>
        <v>1780.9557</v>
      </c>
      <c r="G545" s="1">
        <v>3572.58</v>
      </c>
      <c r="H545" s="1">
        <f>Tabela1[[#This Row],[PESO UND]]/1000*(1129)</f>
        <v>301.10429999999997</v>
      </c>
      <c r="I545" s="1"/>
    </row>
    <row r="546" spans="1:9" x14ac:dyDescent="0.25">
      <c r="A546">
        <v>1115</v>
      </c>
      <c r="B546" t="s">
        <v>528</v>
      </c>
      <c r="C546" t="str">
        <f t="shared" si="8"/>
        <v>87,1</v>
      </c>
      <c r="D546" s="2">
        <v>56.25</v>
      </c>
      <c r="E546" s="1">
        <v>2455.56</v>
      </c>
      <c r="F546" s="1">
        <f>Tabela1[[#This Row],[PR.CUSTO+FRETE]]-Tabela1[[#This Row],[FRETE]]</f>
        <v>2392.05375</v>
      </c>
      <c r="G546" s="1">
        <v>3776.12</v>
      </c>
      <c r="H546" s="1">
        <f>Tabela1[[#This Row],[PESO UND]]/1000*(1129)</f>
        <v>63.506250000000001</v>
      </c>
      <c r="I546" s="1"/>
    </row>
    <row r="547" spans="1:9" x14ac:dyDescent="0.25">
      <c r="A547">
        <v>1114</v>
      </c>
      <c r="B547" t="s">
        <v>529</v>
      </c>
      <c r="C547" t="str">
        <f t="shared" si="8"/>
        <v>87,1</v>
      </c>
      <c r="D547" s="2">
        <v>517.9</v>
      </c>
      <c r="E547" s="1">
        <v>10820.39</v>
      </c>
      <c r="F547" s="1">
        <f>Tabela1[[#This Row],[PR.CUSTO+FRETE]]-Tabela1[[#This Row],[FRETE]]</f>
        <v>10235.680899999999</v>
      </c>
      <c r="G547" s="1">
        <v>16061.51</v>
      </c>
      <c r="H547" s="1">
        <f>Tabela1[[#This Row],[PESO UND]]/1000*(1129)</f>
        <v>584.70910000000003</v>
      </c>
      <c r="I547" s="1"/>
    </row>
    <row r="548" spans="1:9" x14ac:dyDescent="0.25">
      <c r="A548">
        <v>1113</v>
      </c>
      <c r="B548" t="s">
        <v>530</v>
      </c>
      <c r="C548" t="str">
        <f t="shared" si="8"/>
        <v>87,1</v>
      </c>
      <c r="D548" s="2">
        <v>517.9</v>
      </c>
      <c r="E548" s="1">
        <v>10454.4</v>
      </c>
      <c r="F548" s="1">
        <f>Tabela1[[#This Row],[PR.CUSTO+FRETE]]-Tabela1[[#This Row],[FRETE]]</f>
        <v>9869.6908999999996</v>
      </c>
      <c r="G548" s="1">
        <v>15483.78</v>
      </c>
      <c r="H548" s="1">
        <f>Tabela1[[#This Row],[PESO UND]]/1000*(1129)</f>
        <v>584.70910000000003</v>
      </c>
      <c r="I548" s="1"/>
    </row>
    <row r="549" spans="1:9" x14ac:dyDescent="0.25">
      <c r="A549">
        <v>222</v>
      </c>
      <c r="B549" t="s">
        <v>531</v>
      </c>
      <c r="C549" t="str">
        <f t="shared" si="8"/>
        <v xml:space="preserve"> 84,</v>
      </c>
      <c r="D549" s="2">
        <v>6123.82</v>
      </c>
      <c r="E549" s="1">
        <v>33611.47</v>
      </c>
      <c r="F549" s="1">
        <f>Tabela1[[#This Row],[PR.CUSTO+FRETE]]-Tabela1[[#This Row],[FRETE]]</f>
        <v>26697.677220000001</v>
      </c>
      <c r="G549" s="1">
        <v>54578.07</v>
      </c>
      <c r="H549" s="1">
        <f>Tabela1[[#This Row],[PESO UND]]/1000*(1129)</f>
        <v>6913.7927799999989</v>
      </c>
      <c r="I549" s="1"/>
    </row>
    <row r="550" spans="1:9" x14ac:dyDescent="0.25">
      <c r="A550">
        <v>728</v>
      </c>
      <c r="B550" t="s">
        <v>532</v>
      </c>
      <c r="C550" t="str">
        <f t="shared" si="8"/>
        <v>84,2</v>
      </c>
      <c r="D550" s="2">
        <v>1397.55</v>
      </c>
      <c r="E550" s="1">
        <v>9516.77</v>
      </c>
      <c r="F550" s="1">
        <f>Tabela1[[#This Row],[PR.CUSTO+FRETE]]-Tabela1[[#This Row],[FRETE]]</f>
        <v>7938.9360500000003</v>
      </c>
      <c r="G550" s="1">
        <v>17240.87</v>
      </c>
      <c r="H550" s="1">
        <f>Tabela1[[#This Row],[PESO UND]]/1000*(1129)</f>
        <v>1577.8339499999997</v>
      </c>
      <c r="I550" s="1"/>
    </row>
    <row r="551" spans="1:9" x14ac:dyDescent="0.25">
      <c r="A551">
        <v>727</v>
      </c>
      <c r="B551" t="s">
        <v>533</v>
      </c>
      <c r="C551" t="str">
        <f t="shared" si="8"/>
        <v>84,2</v>
      </c>
      <c r="D551" s="2">
        <v>376.45</v>
      </c>
      <c r="E551" s="1">
        <v>2804.58</v>
      </c>
      <c r="F551" s="1">
        <f>Tabela1[[#This Row],[PR.CUSTO+FRETE]]-Tabela1[[#This Row],[FRETE]]</f>
        <v>2379.5679500000001</v>
      </c>
      <c r="G551" s="1">
        <v>4848.8100000000004</v>
      </c>
      <c r="H551" s="1">
        <f>Tabela1[[#This Row],[PESO UND]]/1000*(1129)</f>
        <v>425.01204999999999</v>
      </c>
      <c r="I551" s="1"/>
    </row>
    <row r="552" spans="1:9" x14ac:dyDescent="0.25">
      <c r="A552">
        <v>226</v>
      </c>
      <c r="B552" t="s">
        <v>534</v>
      </c>
      <c r="C552" t="str">
        <f t="shared" si="8"/>
        <v>84,2</v>
      </c>
      <c r="D552" s="2">
        <v>1940</v>
      </c>
      <c r="E552" s="1">
        <v>10454.34</v>
      </c>
      <c r="F552" s="1">
        <f>Tabela1[[#This Row],[PR.CUSTO+FRETE]]-Tabela1[[#This Row],[FRETE]]</f>
        <v>8264.08</v>
      </c>
      <c r="G552" s="1">
        <v>17656.66</v>
      </c>
      <c r="H552" s="1">
        <f>Tabela1[[#This Row],[PESO UND]]/1000*(1129)</f>
        <v>2190.2599999999998</v>
      </c>
      <c r="I552" s="1"/>
    </row>
    <row r="553" spans="1:9" x14ac:dyDescent="0.25">
      <c r="A553">
        <v>225</v>
      </c>
      <c r="B553" t="s">
        <v>535</v>
      </c>
      <c r="C553" t="str">
        <f t="shared" si="8"/>
        <v>84,2</v>
      </c>
      <c r="D553" s="2">
        <v>63.75</v>
      </c>
      <c r="E553" s="1">
        <v>2782.96</v>
      </c>
      <c r="F553" s="1">
        <f>Tabela1[[#This Row],[PR.CUSTO+FRETE]]-Tabela1[[#This Row],[FRETE]]</f>
        <v>2710.9862499999999</v>
      </c>
      <c r="G553" s="1">
        <v>4279.6000000000004</v>
      </c>
      <c r="H553" s="1">
        <f>Tabela1[[#This Row],[PESO UND]]/1000*(1129)</f>
        <v>71.973749999999995</v>
      </c>
      <c r="I553" s="1"/>
    </row>
    <row r="554" spans="1:9" x14ac:dyDescent="0.25">
      <c r="A554">
        <v>224</v>
      </c>
      <c r="B554" t="s">
        <v>536</v>
      </c>
      <c r="C554" t="str">
        <f t="shared" si="8"/>
        <v>84,2</v>
      </c>
      <c r="D554" s="2">
        <v>545.6</v>
      </c>
      <c r="E554" s="1">
        <v>11585.4</v>
      </c>
      <c r="F554" s="1">
        <f>Tabela1[[#This Row],[PR.CUSTO+FRETE]]-Tabela1[[#This Row],[FRETE]]</f>
        <v>10969.417599999999</v>
      </c>
      <c r="G554" s="1">
        <v>17190.38</v>
      </c>
      <c r="H554" s="1">
        <f>Tabela1[[#This Row],[PESO UND]]/1000*(1129)</f>
        <v>615.98239999999998</v>
      </c>
      <c r="I554" s="1"/>
    </row>
    <row r="555" spans="1:9" x14ac:dyDescent="0.25">
      <c r="A555">
        <v>223</v>
      </c>
      <c r="B555" t="s">
        <v>537</v>
      </c>
      <c r="C555" t="str">
        <f t="shared" si="8"/>
        <v>84,2</v>
      </c>
      <c r="D555" s="2">
        <v>545.6</v>
      </c>
      <c r="E555" s="1">
        <v>11200.91</v>
      </c>
      <c r="F555" s="1">
        <f>Tabela1[[#This Row],[PR.CUSTO+FRETE]]-Tabela1[[#This Row],[FRETE]]</f>
        <v>10584.927599999999</v>
      </c>
      <c r="G555" s="1">
        <v>16583.419999999998</v>
      </c>
      <c r="H555" s="1">
        <f>Tabela1[[#This Row],[PESO UND]]/1000*(1129)</f>
        <v>615.98239999999998</v>
      </c>
      <c r="I555" s="1"/>
    </row>
    <row r="556" spans="1:9" x14ac:dyDescent="0.25">
      <c r="A556">
        <v>932</v>
      </c>
      <c r="B556" t="s">
        <v>538</v>
      </c>
      <c r="C556" t="str">
        <f t="shared" si="8"/>
        <v>79,9</v>
      </c>
      <c r="D556" s="2">
        <v>1502.15</v>
      </c>
      <c r="E556" s="1">
        <v>9352.36</v>
      </c>
      <c r="F556" s="1">
        <f>Tabela1[[#This Row],[PR.CUSTO+FRETE]]-Tabela1[[#This Row],[FRETE]]</f>
        <v>7656.4326500000006</v>
      </c>
      <c r="G556" s="1">
        <v>16616.650000000001</v>
      </c>
      <c r="H556" s="1">
        <f>Tabela1[[#This Row],[PESO UND]]/1000*(1129)</f>
        <v>1695.9273500000002</v>
      </c>
      <c r="I556" s="1"/>
    </row>
    <row r="557" spans="1:9" x14ac:dyDescent="0.25">
      <c r="A557">
        <v>931</v>
      </c>
      <c r="B557" t="s">
        <v>539</v>
      </c>
      <c r="C557" t="str">
        <f t="shared" si="8"/>
        <v>79,9</v>
      </c>
      <c r="D557" s="2">
        <v>1032.95</v>
      </c>
      <c r="E557" s="1">
        <v>5485.6</v>
      </c>
      <c r="F557" s="1">
        <f>Tabela1[[#This Row],[PR.CUSTO+FRETE]]-Tabela1[[#This Row],[FRETE]]</f>
        <v>4319.3994500000008</v>
      </c>
      <c r="G557" s="1">
        <v>9135.85</v>
      </c>
      <c r="H557" s="1">
        <f>Tabela1[[#This Row],[PESO UND]]/1000*(1129)</f>
        <v>1166.20055</v>
      </c>
      <c r="I557" s="1"/>
    </row>
    <row r="558" spans="1:9" x14ac:dyDescent="0.25">
      <c r="A558">
        <v>930</v>
      </c>
      <c r="B558" t="s">
        <v>540</v>
      </c>
      <c r="C558" t="str">
        <f t="shared" si="8"/>
        <v>79,9</v>
      </c>
      <c r="D558" s="2">
        <v>1910</v>
      </c>
      <c r="E558" s="1">
        <v>10307.07</v>
      </c>
      <c r="F558" s="1">
        <f>Tabela1[[#This Row],[PR.CUSTO+FRETE]]-Tabela1[[#This Row],[FRETE]]</f>
        <v>8150.68</v>
      </c>
      <c r="G558" s="1">
        <v>17406.05</v>
      </c>
      <c r="H558" s="1">
        <f>Tabela1[[#This Row],[PESO UND]]/1000*(1129)</f>
        <v>2156.39</v>
      </c>
      <c r="I558" s="1"/>
    </row>
    <row r="559" spans="1:9" x14ac:dyDescent="0.25">
      <c r="A559">
        <v>927</v>
      </c>
      <c r="B559" t="s">
        <v>541</v>
      </c>
      <c r="C559" t="str">
        <f t="shared" si="8"/>
        <v>79,9</v>
      </c>
      <c r="D559" s="2">
        <v>6110.89</v>
      </c>
      <c r="E559" s="1">
        <v>34176.120000000003</v>
      </c>
      <c r="F559" s="1">
        <f>Tabela1[[#This Row],[PR.CUSTO+FRETE]]-Tabela1[[#This Row],[FRETE]]</f>
        <v>27276.925190000002</v>
      </c>
      <c r="G559" s="1">
        <v>55517.17</v>
      </c>
      <c r="H559" s="1">
        <f>Tabela1[[#This Row],[PESO UND]]/1000*(1129)</f>
        <v>6899.1948100000009</v>
      </c>
      <c r="I559" s="1"/>
    </row>
    <row r="560" spans="1:9" x14ac:dyDescent="0.25">
      <c r="A560">
        <v>167</v>
      </c>
      <c r="B560" t="s">
        <v>542</v>
      </c>
      <c r="C560" t="str">
        <f t="shared" si="8"/>
        <v>79,9</v>
      </c>
      <c r="D560" s="2">
        <v>63.75</v>
      </c>
      <c r="E560" s="1">
        <v>2782.96</v>
      </c>
      <c r="F560" s="1">
        <f>Tabela1[[#This Row],[PR.CUSTO+FRETE]]-Tabela1[[#This Row],[FRETE]]</f>
        <v>2710.9862499999999</v>
      </c>
      <c r="G560" s="1">
        <v>4279.6000000000004</v>
      </c>
      <c r="H560" s="1">
        <f>Tabela1[[#This Row],[PESO UND]]/1000*(1129)</f>
        <v>71.973749999999995</v>
      </c>
      <c r="I560" s="1"/>
    </row>
    <row r="561" spans="1:9" x14ac:dyDescent="0.25">
      <c r="A561">
        <v>166</v>
      </c>
      <c r="B561" t="s">
        <v>543</v>
      </c>
      <c r="C561" t="str">
        <f t="shared" si="8"/>
        <v>79,9</v>
      </c>
      <c r="D561" s="2">
        <v>499.8</v>
      </c>
      <c r="E561" s="1">
        <v>10706.5</v>
      </c>
      <c r="F561" s="1">
        <f>Tabela1[[#This Row],[PR.CUSTO+FRETE]]-Tabela1[[#This Row],[FRETE]]</f>
        <v>10142.2258</v>
      </c>
      <c r="G561" s="1">
        <v>15894.36</v>
      </c>
      <c r="H561" s="1">
        <f>Tabela1[[#This Row],[PESO UND]]/1000*(1129)</f>
        <v>564.27420000000006</v>
      </c>
      <c r="I561" s="1"/>
    </row>
    <row r="562" spans="1:9" x14ac:dyDescent="0.25">
      <c r="A562">
        <v>165</v>
      </c>
      <c r="B562" t="s">
        <v>544</v>
      </c>
      <c r="C562" t="str">
        <f t="shared" si="8"/>
        <v>79,9</v>
      </c>
      <c r="D562" s="2">
        <v>499.8</v>
      </c>
      <c r="E562" s="1">
        <v>10353.98</v>
      </c>
      <c r="F562" s="1">
        <f>Tabela1[[#This Row],[PR.CUSTO+FRETE]]-Tabela1[[#This Row],[FRETE]]</f>
        <v>9789.7057999999997</v>
      </c>
      <c r="G562" s="1">
        <v>15337.89</v>
      </c>
      <c r="H562" s="1">
        <f>Tabela1[[#This Row],[PESO UND]]/1000*(1129)</f>
        <v>564.27420000000006</v>
      </c>
      <c r="I562" s="1"/>
    </row>
    <row r="563" spans="1:9" x14ac:dyDescent="0.25">
      <c r="A563">
        <v>425</v>
      </c>
      <c r="B563" t="s">
        <v>545</v>
      </c>
      <c r="C563" t="str">
        <f t="shared" si="8"/>
        <v>323,</v>
      </c>
      <c r="D563" s="2">
        <v>21902.9</v>
      </c>
      <c r="E563" s="1">
        <v>120373.59</v>
      </c>
      <c r="F563" s="1">
        <f>Tabela1[[#This Row],[PR.CUSTO+FRETE]]-Tabela1[[#This Row],[FRETE]]</f>
        <v>95645.215899999996</v>
      </c>
      <c r="G563" s="1">
        <v>196689.53</v>
      </c>
      <c r="H563" s="1">
        <f>Tabela1[[#This Row],[PESO UND]]/1000*(1129)</f>
        <v>24728.374100000005</v>
      </c>
      <c r="I563" s="1"/>
    </row>
    <row r="564" spans="1:9" x14ac:dyDescent="0.25">
      <c r="A564">
        <v>427</v>
      </c>
      <c r="B564" t="s">
        <v>546</v>
      </c>
      <c r="C564" t="str">
        <f t="shared" si="8"/>
        <v>323,</v>
      </c>
      <c r="D564" s="2">
        <v>6854.2</v>
      </c>
      <c r="E564" s="1">
        <v>40297.910000000003</v>
      </c>
      <c r="F564" s="1">
        <f>Tabela1[[#This Row],[PR.CUSTO+FRETE]]-Tabela1[[#This Row],[FRETE]]</f>
        <v>32559.518200000006</v>
      </c>
      <c r="G564" s="1">
        <v>70815.179999999993</v>
      </c>
      <c r="H564" s="1">
        <f>Tabela1[[#This Row],[PESO UND]]/1000*(1129)</f>
        <v>7738.3917999999994</v>
      </c>
      <c r="I564" s="1"/>
    </row>
    <row r="565" spans="1:9" x14ac:dyDescent="0.25">
      <c r="A565">
        <v>426</v>
      </c>
      <c r="B565" t="s">
        <v>547</v>
      </c>
      <c r="C565" t="str">
        <f t="shared" si="8"/>
        <v>323,</v>
      </c>
      <c r="D565" s="2">
        <v>831.8</v>
      </c>
      <c r="E565" s="1">
        <v>5229.6899999999996</v>
      </c>
      <c r="F565" s="1">
        <f>Tabela1[[#This Row],[PR.CUSTO+FRETE]]-Tabela1[[#This Row],[FRETE]]</f>
        <v>4290.5877999999993</v>
      </c>
      <c r="G565" s="1">
        <v>9266.26</v>
      </c>
      <c r="H565" s="1">
        <f>Tabela1[[#This Row],[PESO UND]]/1000*(1129)</f>
        <v>939.10219999999993</v>
      </c>
      <c r="I565" s="1"/>
    </row>
    <row r="566" spans="1:9" x14ac:dyDescent="0.25">
      <c r="A566">
        <v>430</v>
      </c>
      <c r="B566" t="s">
        <v>548</v>
      </c>
      <c r="C566" t="str">
        <f t="shared" si="8"/>
        <v>323,</v>
      </c>
      <c r="D566" s="2">
        <v>6667</v>
      </c>
      <c r="E566" s="1">
        <v>38543.230000000003</v>
      </c>
      <c r="F566" s="1">
        <f>Tabela1[[#This Row],[PR.CUSTO+FRETE]]-Tabela1[[#This Row],[FRETE]]</f>
        <v>31016.187000000005</v>
      </c>
      <c r="G566" s="1">
        <v>64599.16</v>
      </c>
      <c r="H566" s="1">
        <f>Tabela1[[#This Row],[PESO UND]]/1000*(1129)</f>
        <v>7527.0429999999997</v>
      </c>
      <c r="I566" s="1"/>
    </row>
    <row r="567" spans="1:9" x14ac:dyDescent="0.25">
      <c r="A567">
        <v>429</v>
      </c>
      <c r="B567" t="s">
        <v>549</v>
      </c>
      <c r="C567" t="str">
        <f t="shared" si="8"/>
        <v>323,</v>
      </c>
      <c r="D567" s="2">
        <v>232.5</v>
      </c>
      <c r="E567" s="1">
        <v>10149.629999999999</v>
      </c>
      <c r="F567" s="1">
        <f>Tabela1[[#This Row],[PR.CUSTO+FRETE]]-Tabela1[[#This Row],[FRETE]]</f>
        <v>9887.1374999999989</v>
      </c>
      <c r="G567" s="1">
        <v>15607.95</v>
      </c>
      <c r="H567" s="1">
        <f>Tabela1[[#This Row],[PESO UND]]/1000*(1129)</f>
        <v>262.49250000000001</v>
      </c>
      <c r="I567" s="1"/>
    </row>
    <row r="568" spans="1:9" x14ac:dyDescent="0.25">
      <c r="A568">
        <v>431</v>
      </c>
      <c r="B568" t="s">
        <v>550</v>
      </c>
      <c r="C568" t="str">
        <f t="shared" si="8"/>
        <v>323,</v>
      </c>
      <c r="D568" s="2">
        <v>1896.5</v>
      </c>
      <c r="E568" s="1">
        <v>40046.36</v>
      </c>
      <c r="F568" s="1">
        <f>Tabela1[[#This Row],[PR.CUSTO+FRETE]]-Tabela1[[#This Row],[FRETE]]</f>
        <v>37905.211499999998</v>
      </c>
      <c r="G568" s="1">
        <v>59410.15</v>
      </c>
      <c r="H568" s="1">
        <f>Tabela1[[#This Row],[PESO UND]]/1000*(1129)</f>
        <v>2141.1485000000002</v>
      </c>
      <c r="I568" s="1"/>
    </row>
    <row r="569" spans="1:9" x14ac:dyDescent="0.25">
      <c r="A569">
        <v>428</v>
      </c>
      <c r="B569" t="s">
        <v>551</v>
      </c>
      <c r="C569" t="str">
        <f t="shared" si="8"/>
        <v>323,</v>
      </c>
      <c r="D569" s="2">
        <v>1896.5</v>
      </c>
      <c r="E569" s="1">
        <v>38712.19</v>
      </c>
      <c r="F569" s="1">
        <f>Tabela1[[#This Row],[PR.CUSTO+FRETE]]-Tabela1[[#This Row],[FRETE]]</f>
        <v>36571.041499999999</v>
      </c>
      <c r="G569" s="1">
        <v>57304.06</v>
      </c>
      <c r="H569" s="1">
        <f>Tabela1[[#This Row],[PESO UND]]/1000*(1129)</f>
        <v>2141.1485000000002</v>
      </c>
      <c r="I569" s="1"/>
    </row>
    <row r="570" spans="1:9" x14ac:dyDescent="0.25">
      <c r="A570">
        <v>411</v>
      </c>
      <c r="B570" t="s">
        <v>552</v>
      </c>
      <c r="C570" t="str">
        <f t="shared" si="8"/>
        <v>80M²</v>
      </c>
      <c r="D570" s="2">
        <v>8813.43</v>
      </c>
      <c r="E570" s="1">
        <v>50816.99</v>
      </c>
      <c r="F570" s="1">
        <f>Tabela1[[#This Row],[PR.CUSTO+FRETE]]-Tabela1[[#This Row],[FRETE]]</f>
        <v>40866.627529999998</v>
      </c>
      <c r="G570" s="1">
        <v>85332.22</v>
      </c>
      <c r="H570" s="1">
        <f>Tabela1[[#This Row],[PESO UND]]/1000*(1129)</f>
        <v>9950.36247</v>
      </c>
      <c r="I570" s="1"/>
    </row>
    <row r="571" spans="1:9" x14ac:dyDescent="0.25">
      <c r="A571">
        <v>414</v>
      </c>
      <c r="B571" t="s">
        <v>553</v>
      </c>
      <c r="C571" t="str">
        <f t="shared" si="8"/>
        <v>80M²</v>
      </c>
      <c r="D571" s="2">
        <v>97.5</v>
      </c>
      <c r="E571" s="1">
        <v>3209.03</v>
      </c>
      <c r="F571" s="1">
        <f>Tabela1[[#This Row],[PR.CUSTO+FRETE]]-Tabela1[[#This Row],[FRETE]]</f>
        <v>3098.9525000000003</v>
      </c>
      <c r="G571" s="1">
        <v>4899.04</v>
      </c>
      <c r="H571" s="1">
        <f>Tabela1[[#This Row],[PESO UND]]/1000*(1129)</f>
        <v>110.0775</v>
      </c>
      <c r="I571" s="1"/>
    </row>
    <row r="572" spans="1:9" x14ac:dyDescent="0.25">
      <c r="A572">
        <v>413</v>
      </c>
      <c r="B572" t="s">
        <v>554</v>
      </c>
      <c r="C572" t="str">
        <f t="shared" si="8"/>
        <v>80M²</v>
      </c>
      <c r="D572" s="2">
        <v>494.1</v>
      </c>
      <c r="E572" s="1">
        <v>9164.89</v>
      </c>
      <c r="F572" s="1">
        <f>Tabela1[[#This Row],[PR.CUSTO+FRETE]]-Tabela1[[#This Row],[FRETE]]</f>
        <v>8607.0510999999988</v>
      </c>
      <c r="G572" s="1">
        <v>13586.86</v>
      </c>
      <c r="H572" s="1">
        <f>Tabela1[[#This Row],[PESO UND]]/1000*(1129)</f>
        <v>557.83890000000008</v>
      </c>
      <c r="I572" s="1"/>
    </row>
    <row r="573" spans="1:9" x14ac:dyDescent="0.25">
      <c r="A573">
        <v>412</v>
      </c>
      <c r="B573" t="s">
        <v>555</v>
      </c>
      <c r="C573" t="str">
        <f t="shared" si="8"/>
        <v>80M²</v>
      </c>
      <c r="D573" s="2">
        <v>494.1</v>
      </c>
      <c r="E573" s="1">
        <v>8817.89</v>
      </c>
      <c r="F573" s="1">
        <f>Tabela1[[#This Row],[PR.CUSTO+FRETE]]-Tabela1[[#This Row],[FRETE]]</f>
        <v>8260.0510999999988</v>
      </c>
      <c r="G573" s="1">
        <v>13039.09</v>
      </c>
      <c r="H573" s="1">
        <f>Tabela1[[#This Row],[PESO UND]]/1000*(1129)</f>
        <v>557.83890000000008</v>
      </c>
      <c r="I573" s="1"/>
    </row>
    <row r="574" spans="1:9" x14ac:dyDescent="0.25">
      <c r="A574">
        <v>349</v>
      </c>
      <c r="B574" t="s">
        <v>556</v>
      </c>
      <c r="C574" t="str">
        <f t="shared" si="8"/>
        <v>72,6</v>
      </c>
      <c r="D574" s="2">
        <v>1856.95</v>
      </c>
      <c r="E574" s="1">
        <v>10462.4</v>
      </c>
      <c r="F574" s="1">
        <f>Tabela1[[#This Row],[PR.CUSTO+FRETE]]-Tabela1[[#This Row],[FRETE]]</f>
        <v>8365.9034499999998</v>
      </c>
      <c r="G574" s="1">
        <v>18184.2</v>
      </c>
      <c r="H574" s="1">
        <f>Tabela1[[#This Row],[PESO UND]]/1000*(1129)</f>
        <v>2096.4965500000003</v>
      </c>
      <c r="I574" s="1"/>
    </row>
    <row r="575" spans="1:9" x14ac:dyDescent="0.25">
      <c r="A575">
        <v>352</v>
      </c>
      <c r="B575" t="s">
        <v>557</v>
      </c>
      <c r="C575" t="str">
        <f t="shared" si="8"/>
        <v>72,6</v>
      </c>
      <c r="D575" s="2">
        <v>1632</v>
      </c>
      <c r="E575" s="1">
        <v>8563.51</v>
      </c>
      <c r="F575" s="1">
        <f>Tabela1[[#This Row],[PR.CUSTO+FRETE]]-Tabela1[[#This Row],[FRETE]]</f>
        <v>6720.982</v>
      </c>
      <c r="G575" s="1">
        <v>14322.28</v>
      </c>
      <c r="H575" s="1">
        <f>Tabela1[[#This Row],[PESO UND]]/1000*(1129)</f>
        <v>1842.5279999999998</v>
      </c>
      <c r="I575" s="1"/>
    </row>
    <row r="576" spans="1:9" x14ac:dyDescent="0.25">
      <c r="A576">
        <v>341</v>
      </c>
      <c r="B576" t="s">
        <v>558</v>
      </c>
      <c r="C576" t="str">
        <f t="shared" si="8"/>
        <v>72,6</v>
      </c>
      <c r="D576" s="2">
        <v>5699.8</v>
      </c>
      <c r="E576" s="1">
        <v>31985.29</v>
      </c>
      <c r="F576" s="1">
        <f>Tabela1[[#This Row],[PR.CUSTO+FRETE]]-Tabela1[[#This Row],[FRETE]]</f>
        <v>25550.215800000002</v>
      </c>
      <c r="G576" s="1">
        <v>52249.93</v>
      </c>
      <c r="H576" s="1">
        <f>Tabela1[[#This Row],[PESO UND]]/1000*(1129)</f>
        <v>6435.0742</v>
      </c>
      <c r="I576" s="1"/>
    </row>
    <row r="577" spans="1:9" x14ac:dyDescent="0.25">
      <c r="A577">
        <v>353</v>
      </c>
      <c r="B577" t="s">
        <v>559</v>
      </c>
      <c r="C577" t="str">
        <f t="shared" si="8"/>
        <v>72,6</v>
      </c>
      <c r="D577" s="2">
        <v>50.4</v>
      </c>
      <c r="E577" s="1">
        <v>2432.56</v>
      </c>
      <c r="F577" s="1">
        <f>Tabela1[[#This Row],[PR.CUSTO+FRETE]]-Tabela1[[#This Row],[FRETE]]</f>
        <v>2375.6583999999998</v>
      </c>
      <c r="G577" s="1">
        <v>3750.24</v>
      </c>
      <c r="H577" s="1">
        <f>Tabela1[[#This Row],[PESO UND]]/1000*(1129)</f>
        <v>56.901600000000002</v>
      </c>
      <c r="I577" s="1"/>
    </row>
    <row r="578" spans="1:9" x14ac:dyDescent="0.25">
      <c r="A578">
        <v>351</v>
      </c>
      <c r="B578" t="s">
        <v>560</v>
      </c>
      <c r="C578" t="str">
        <f t="shared" ref="C578:C641" si="9">IFERROR(MID(B578,FIND("(",B578)+1,4),"")</f>
        <v>72,6</v>
      </c>
      <c r="D578" s="2">
        <v>317.2</v>
      </c>
      <c r="E578" s="1">
        <v>6632.71</v>
      </c>
      <c r="F578" s="1">
        <f>Tabela1[[#This Row],[PR.CUSTO+FRETE]]-Tabela1[[#This Row],[FRETE]]</f>
        <v>6274.5911999999998</v>
      </c>
      <c r="G578" s="1">
        <v>9840.73</v>
      </c>
      <c r="H578" s="1">
        <f>Tabela1[[#This Row],[PESO UND]]/1000*(1129)</f>
        <v>358.11879999999996</v>
      </c>
      <c r="I578" s="1"/>
    </row>
    <row r="579" spans="1:9" x14ac:dyDescent="0.25">
      <c r="A579">
        <v>350</v>
      </c>
      <c r="B579" t="s">
        <v>561</v>
      </c>
      <c r="C579" t="str">
        <f t="shared" si="9"/>
        <v>72,6</v>
      </c>
      <c r="D579" s="2">
        <v>317.2</v>
      </c>
      <c r="E579" s="1">
        <v>6409.94</v>
      </c>
      <c r="F579" s="1">
        <f>Tabela1[[#This Row],[PR.CUSTO+FRETE]]-Tabela1[[#This Row],[FRETE]]</f>
        <v>6051.8211999999994</v>
      </c>
      <c r="G579" s="1">
        <v>9489.07</v>
      </c>
      <c r="H579" s="1">
        <f>Tabela1[[#This Row],[PESO UND]]/1000*(1129)</f>
        <v>358.11879999999996</v>
      </c>
      <c r="I579" s="1"/>
    </row>
    <row r="580" spans="1:9" x14ac:dyDescent="0.25">
      <c r="A580">
        <v>243</v>
      </c>
      <c r="B580" t="s">
        <v>949</v>
      </c>
      <c r="C580" t="str">
        <f t="shared" si="9"/>
        <v>90,0</v>
      </c>
      <c r="D580" s="2">
        <v>4207.28</v>
      </c>
      <c r="E580" s="1">
        <v>22902.43</v>
      </c>
      <c r="F580" s="1">
        <f>Tabela1[[#This Row],[PR.CUSTO+FRETE]]-Tabela1[[#This Row],[FRETE]]</f>
        <v>18152.410879999999</v>
      </c>
      <c r="G580" s="1">
        <v>37123.29</v>
      </c>
      <c r="H580" s="1">
        <f>Tabela1[[#This Row],[PESO UND]]/1000*(1129)</f>
        <v>4750.0191199999999</v>
      </c>
      <c r="I580" s="1"/>
    </row>
    <row r="581" spans="1:9" x14ac:dyDescent="0.25">
      <c r="A581">
        <v>247</v>
      </c>
      <c r="B581" t="s">
        <v>562</v>
      </c>
      <c r="C581" t="str">
        <f t="shared" si="9"/>
        <v/>
      </c>
      <c r="D581" s="2">
        <v>1184.5</v>
      </c>
      <c r="E581" s="1">
        <v>6555.54</v>
      </c>
      <c r="F581" s="1">
        <f>Tabela1[[#This Row],[PR.CUSTO+FRETE]]-Tabela1[[#This Row],[FRETE]]</f>
        <v>5218.2394999999997</v>
      </c>
      <c r="G581" s="1">
        <v>10925.36</v>
      </c>
      <c r="H581" s="1">
        <f>Tabela1[[#This Row],[PESO UND]]/1000*(1129)</f>
        <v>1337.3005000000001</v>
      </c>
      <c r="I581" s="1"/>
    </row>
    <row r="582" spans="1:9" x14ac:dyDescent="0.25">
      <c r="A582">
        <v>246</v>
      </c>
      <c r="B582" t="s">
        <v>563</v>
      </c>
      <c r="C582" t="str">
        <f t="shared" si="9"/>
        <v/>
      </c>
      <c r="D582" s="2">
        <v>41.25</v>
      </c>
      <c r="E582" s="1">
        <v>1800.74</v>
      </c>
      <c r="F582" s="1">
        <f>Tabela1[[#This Row],[PR.CUSTO+FRETE]]-Tabela1[[#This Row],[FRETE]]</f>
        <v>1754.16875</v>
      </c>
      <c r="G582" s="1">
        <v>2769.15</v>
      </c>
      <c r="H582" s="1">
        <f>Tabela1[[#This Row],[PESO UND]]/1000*(1129)</f>
        <v>46.571249999999999</v>
      </c>
      <c r="I582" s="1"/>
    </row>
    <row r="583" spans="1:9" x14ac:dyDescent="0.25">
      <c r="A583">
        <v>245</v>
      </c>
      <c r="B583" t="s">
        <v>564</v>
      </c>
      <c r="C583" t="str">
        <f t="shared" si="9"/>
        <v/>
      </c>
      <c r="D583" s="2">
        <v>262.3</v>
      </c>
      <c r="E583" s="1">
        <v>4865.3100000000004</v>
      </c>
      <c r="F583" s="1">
        <f>Tabela1[[#This Row],[PR.CUSTO+FRETE]]-Tabela1[[#This Row],[FRETE]]</f>
        <v>4569.1733000000004</v>
      </c>
      <c r="G583" s="1">
        <v>7212.78</v>
      </c>
      <c r="H583" s="1">
        <f>Tabela1[[#This Row],[PESO UND]]/1000*(1129)</f>
        <v>296.13670000000002</v>
      </c>
      <c r="I583" s="1"/>
    </row>
    <row r="584" spans="1:9" x14ac:dyDescent="0.25">
      <c r="A584">
        <v>244</v>
      </c>
      <c r="B584" t="s">
        <v>565</v>
      </c>
      <c r="C584" t="str">
        <f t="shared" si="9"/>
        <v/>
      </c>
      <c r="D584" s="2">
        <v>262.3</v>
      </c>
      <c r="E584" s="1">
        <v>4681.1099999999997</v>
      </c>
      <c r="F584" s="1">
        <f>Tabela1[[#This Row],[PR.CUSTO+FRETE]]-Tabela1[[#This Row],[FRETE]]</f>
        <v>4384.9732999999997</v>
      </c>
      <c r="G584" s="1">
        <v>6921.99</v>
      </c>
      <c r="H584" s="1">
        <f>Tabela1[[#This Row],[PESO UND]]/1000*(1129)</f>
        <v>296.13670000000002</v>
      </c>
      <c r="I584" s="1"/>
    </row>
    <row r="585" spans="1:9" x14ac:dyDescent="0.25">
      <c r="A585">
        <v>342</v>
      </c>
      <c r="B585" t="s">
        <v>566</v>
      </c>
      <c r="C585" t="str">
        <f t="shared" si="9"/>
        <v>106,</v>
      </c>
      <c r="D585" s="2">
        <v>5189.9799999999996</v>
      </c>
      <c r="E585" s="1">
        <v>28377.55</v>
      </c>
      <c r="F585" s="1">
        <f>Tabela1[[#This Row],[PR.CUSTO+FRETE]]-Tabela1[[#This Row],[FRETE]]</f>
        <v>22518.062579999998</v>
      </c>
      <c r="G585" s="1">
        <v>46122.37</v>
      </c>
      <c r="H585" s="1">
        <f>Tabela1[[#This Row],[PESO UND]]/1000*(1129)</f>
        <v>5859.4874199999995</v>
      </c>
      <c r="I585" s="1"/>
    </row>
    <row r="586" spans="1:9" x14ac:dyDescent="0.25">
      <c r="A586">
        <v>348</v>
      </c>
      <c r="B586" t="s">
        <v>567</v>
      </c>
      <c r="C586" t="str">
        <f t="shared" si="9"/>
        <v>106,</v>
      </c>
      <c r="D586" s="2">
        <v>2715.15</v>
      </c>
      <c r="E586" s="1">
        <v>16333.87</v>
      </c>
      <c r="F586" s="1">
        <f>Tabela1[[#This Row],[PR.CUSTO+FRETE]]-Tabela1[[#This Row],[FRETE]]</f>
        <v>13268.465650000002</v>
      </c>
      <c r="G586" s="1">
        <v>28866.71</v>
      </c>
      <c r="H586" s="1">
        <f>Tabela1[[#This Row],[PESO UND]]/1000*(1129)</f>
        <v>3065.4043499999998</v>
      </c>
      <c r="I586" s="1"/>
    </row>
    <row r="587" spans="1:9" x14ac:dyDescent="0.25">
      <c r="A587">
        <v>347</v>
      </c>
      <c r="B587" t="s">
        <v>568</v>
      </c>
      <c r="C587" t="str">
        <f t="shared" si="9"/>
        <v>106,</v>
      </c>
      <c r="D587" s="2">
        <v>310.60000000000002</v>
      </c>
      <c r="E587" s="1">
        <v>1988.9</v>
      </c>
      <c r="F587" s="1">
        <f>Tabela1[[#This Row],[PR.CUSTO+FRETE]]-Tabela1[[#This Row],[FRETE]]</f>
        <v>1638.2326</v>
      </c>
      <c r="G587" s="1">
        <v>3512.53</v>
      </c>
      <c r="H587" s="1">
        <f>Tabela1[[#This Row],[PESO UND]]/1000*(1129)</f>
        <v>350.66740000000004</v>
      </c>
      <c r="I587" s="1"/>
    </row>
    <row r="588" spans="1:9" x14ac:dyDescent="0.25">
      <c r="A588">
        <v>346</v>
      </c>
      <c r="B588" t="s">
        <v>569</v>
      </c>
      <c r="C588" t="str">
        <f t="shared" si="9"/>
        <v>106,</v>
      </c>
      <c r="D588" s="2">
        <v>1766</v>
      </c>
      <c r="E588" s="1">
        <v>9665.76</v>
      </c>
      <c r="F588" s="1">
        <f>Tabela1[[#This Row],[PR.CUSTO+FRETE]]-Tabela1[[#This Row],[FRETE]]</f>
        <v>7671.9459999999999</v>
      </c>
      <c r="G588" s="1">
        <v>16120.42</v>
      </c>
      <c r="H588" s="1">
        <f>Tabela1[[#This Row],[PESO UND]]/1000*(1129)</f>
        <v>1993.8140000000001</v>
      </c>
      <c r="I588" s="1"/>
    </row>
    <row r="589" spans="1:9" x14ac:dyDescent="0.25">
      <c r="A589">
        <v>455</v>
      </c>
      <c r="B589" t="s">
        <v>570</v>
      </c>
      <c r="C589" t="str">
        <f t="shared" si="9"/>
        <v>106,</v>
      </c>
      <c r="D589" s="2">
        <v>43.2</v>
      </c>
      <c r="E589" s="1">
        <v>2085.0500000000002</v>
      </c>
      <c r="F589" s="1">
        <f>Tabela1[[#This Row],[PR.CUSTO+FRETE]]-Tabela1[[#This Row],[FRETE]]</f>
        <v>2036.2772000000002</v>
      </c>
      <c r="G589" s="1">
        <v>3214.49</v>
      </c>
      <c r="H589" s="1">
        <f>Tabela1[[#This Row],[PESO UND]]/1000*(1129)</f>
        <v>48.772800000000004</v>
      </c>
      <c r="I589" s="1"/>
    </row>
    <row r="590" spans="1:9" x14ac:dyDescent="0.25">
      <c r="A590">
        <v>344</v>
      </c>
      <c r="B590" t="s">
        <v>571</v>
      </c>
      <c r="C590" t="str">
        <f t="shared" si="9"/>
        <v>106,</v>
      </c>
      <c r="D590" s="2">
        <v>384.3</v>
      </c>
      <c r="E590" s="1">
        <v>7128.25</v>
      </c>
      <c r="F590" s="1">
        <f>Tabela1[[#This Row],[PR.CUSTO+FRETE]]-Tabela1[[#This Row],[FRETE]]</f>
        <v>6694.3752999999997</v>
      </c>
      <c r="G590" s="1">
        <v>10567.56</v>
      </c>
      <c r="H590" s="1">
        <f>Tabela1[[#This Row],[PESO UND]]/1000*(1129)</f>
        <v>433.87470000000002</v>
      </c>
      <c r="I590" s="1"/>
    </row>
    <row r="591" spans="1:9" x14ac:dyDescent="0.25">
      <c r="A591">
        <v>454</v>
      </c>
      <c r="B591" t="s">
        <v>572</v>
      </c>
      <c r="C591" t="str">
        <f t="shared" si="9"/>
        <v>106,</v>
      </c>
      <c r="D591" s="2">
        <v>384.3</v>
      </c>
      <c r="E591" s="1">
        <v>6858.37</v>
      </c>
      <c r="F591" s="1">
        <f>Tabela1[[#This Row],[PR.CUSTO+FRETE]]-Tabela1[[#This Row],[FRETE]]</f>
        <v>6424.4952999999996</v>
      </c>
      <c r="G591" s="1">
        <v>10141.51</v>
      </c>
      <c r="H591" s="1">
        <f>Tabela1[[#This Row],[PESO UND]]/1000*(1129)</f>
        <v>433.87470000000002</v>
      </c>
      <c r="I591" s="1"/>
    </row>
    <row r="592" spans="1:9" x14ac:dyDescent="0.25">
      <c r="A592">
        <v>564</v>
      </c>
      <c r="B592" t="s">
        <v>950</v>
      </c>
      <c r="C592" t="str">
        <f t="shared" si="9"/>
        <v>21,0</v>
      </c>
      <c r="D592" s="2">
        <v>4647.07</v>
      </c>
      <c r="E592" s="1">
        <v>22274.79</v>
      </c>
      <c r="F592" s="1">
        <f>Tabela1[[#This Row],[PR.CUSTO+FRETE]]-Tabela1[[#This Row],[FRETE]]</f>
        <v>17028.24797</v>
      </c>
      <c r="G592" s="1">
        <v>36765.89</v>
      </c>
      <c r="H592" s="1">
        <f>Tabela1[[#This Row],[PESO UND]]/1000*(1129)</f>
        <v>5246.5420299999996</v>
      </c>
      <c r="I592" s="1"/>
    </row>
    <row r="593" spans="1:9" x14ac:dyDescent="0.25">
      <c r="A593">
        <v>565</v>
      </c>
      <c r="B593" t="s">
        <v>573</v>
      </c>
      <c r="C593" t="str">
        <f t="shared" si="9"/>
        <v/>
      </c>
      <c r="D593" s="2">
        <v>63.75</v>
      </c>
      <c r="E593" s="1">
        <v>2782.96</v>
      </c>
      <c r="F593" s="1">
        <f>Tabela1[[#This Row],[PR.CUSTO+FRETE]]-Tabela1[[#This Row],[FRETE]]</f>
        <v>2710.9862499999999</v>
      </c>
      <c r="G593" s="1">
        <v>4279.6000000000004</v>
      </c>
      <c r="H593" s="1">
        <f>Tabela1[[#This Row],[PESO UND]]/1000*(1129)</f>
        <v>71.973749999999995</v>
      </c>
      <c r="I593" s="1"/>
    </row>
    <row r="594" spans="1:9" x14ac:dyDescent="0.25">
      <c r="A594">
        <v>1073</v>
      </c>
      <c r="B594" t="s">
        <v>574</v>
      </c>
      <c r="C594" t="str">
        <f t="shared" si="9"/>
        <v/>
      </c>
      <c r="D594" s="2">
        <v>523.84</v>
      </c>
      <c r="E594" s="1">
        <v>2632.18</v>
      </c>
      <c r="F594" s="1">
        <f>Tabela1[[#This Row],[PR.CUSTO+FRETE]]-Tabela1[[#This Row],[FRETE]]</f>
        <v>2040.7646399999999</v>
      </c>
      <c r="G594" s="1">
        <v>4284.66</v>
      </c>
      <c r="H594" s="1">
        <f>Tabela1[[#This Row],[PESO UND]]/1000*(1129)</f>
        <v>591.41536000000008</v>
      </c>
      <c r="I594" s="1"/>
    </row>
    <row r="595" spans="1:9" x14ac:dyDescent="0.25">
      <c r="A595">
        <v>1074</v>
      </c>
      <c r="B595" t="s">
        <v>575</v>
      </c>
      <c r="C595" t="str">
        <f t="shared" si="9"/>
        <v/>
      </c>
      <c r="D595" s="2">
        <v>82.2</v>
      </c>
      <c r="E595" s="1">
        <v>1489.01</v>
      </c>
      <c r="F595" s="1">
        <f>Tabela1[[#This Row],[PR.CUSTO+FRETE]]-Tabela1[[#This Row],[FRETE]]</f>
        <v>1396.2062000000001</v>
      </c>
      <c r="G595" s="1">
        <v>2204</v>
      </c>
      <c r="H595" s="1">
        <f>Tabela1[[#This Row],[PESO UND]]/1000*(1129)</f>
        <v>92.80380000000001</v>
      </c>
      <c r="I595" s="1"/>
    </row>
    <row r="596" spans="1:9" x14ac:dyDescent="0.25">
      <c r="A596">
        <v>375</v>
      </c>
      <c r="B596" t="s">
        <v>576</v>
      </c>
      <c r="C596" t="str">
        <f t="shared" si="9"/>
        <v>86M²</v>
      </c>
      <c r="D596" s="2">
        <v>12191.43</v>
      </c>
      <c r="E596" s="1">
        <v>63649.81</v>
      </c>
      <c r="F596" s="1">
        <f>Tabela1[[#This Row],[PR.CUSTO+FRETE]]-Tabela1[[#This Row],[FRETE]]</f>
        <v>49885.685529999995</v>
      </c>
      <c r="G596" s="1">
        <v>103464.23</v>
      </c>
      <c r="H596" s="1">
        <f>Tabela1[[#This Row],[PESO UND]]/1000*(1129)</f>
        <v>13764.124470000001</v>
      </c>
      <c r="I596" s="1"/>
    </row>
    <row r="597" spans="1:9" x14ac:dyDescent="0.25">
      <c r="A597">
        <v>379</v>
      </c>
      <c r="B597" t="s">
        <v>577</v>
      </c>
      <c r="C597" t="str">
        <f t="shared" si="9"/>
        <v>86M²</v>
      </c>
      <c r="D597" s="2">
        <v>3694.5</v>
      </c>
      <c r="E597" s="1">
        <v>18588.189999999999</v>
      </c>
      <c r="F597" s="1">
        <f>Tabela1[[#This Row],[PR.CUSTO+FRETE]]-Tabela1[[#This Row],[FRETE]]</f>
        <v>14417.099499999998</v>
      </c>
      <c r="G597" s="1">
        <v>31178.97</v>
      </c>
      <c r="H597" s="1">
        <f>Tabela1[[#This Row],[PESO UND]]/1000*(1129)</f>
        <v>4171.0905000000002</v>
      </c>
      <c r="I597" s="1"/>
    </row>
    <row r="598" spans="1:9" x14ac:dyDescent="0.25">
      <c r="A598">
        <v>378</v>
      </c>
      <c r="B598" t="s">
        <v>578</v>
      </c>
      <c r="C598" t="str">
        <f t="shared" si="9"/>
        <v>86M²</v>
      </c>
      <c r="D598" s="2">
        <v>67.5</v>
      </c>
      <c r="E598" s="1">
        <v>2946.67</v>
      </c>
      <c r="F598" s="1">
        <f>Tabela1[[#This Row],[PR.CUSTO+FRETE]]-Tabela1[[#This Row],[FRETE]]</f>
        <v>2870.4625000000001</v>
      </c>
      <c r="G598" s="1">
        <v>4531.34</v>
      </c>
      <c r="H598" s="1">
        <f>Tabela1[[#This Row],[PESO UND]]/1000*(1129)</f>
        <v>76.20750000000001</v>
      </c>
      <c r="I598" s="1"/>
    </row>
    <row r="599" spans="1:9" x14ac:dyDescent="0.25">
      <c r="A599">
        <v>377</v>
      </c>
      <c r="B599" t="s">
        <v>579</v>
      </c>
      <c r="C599" t="str">
        <f t="shared" si="9"/>
        <v>86M²</v>
      </c>
      <c r="D599" s="2">
        <v>478.5</v>
      </c>
      <c r="E599" s="1">
        <v>8928.2900000000009</v>
      </c>
      <c r="F599" s="1">
        <f>Tabela1[[#This Row],[PR.CUSTO+FRETE]]-Tabela1[[#This Row],[FRETE]]</f>
        <v>8388.0635000000002</v>
      </c>
      <c r="G599" s="1">
        <v>13241.15</v>
      </c>
      <c r="H599" s="1">
        <f>Tabela1[[#This Row],[PESO UND]]/1000*(1129)</f>
        <v>540.22649999999999</v>
      </c>
      <c r="I599" s="1"/>
    </row>
    <row r="600" spans="1:9" x14ac:dyDescent="0.25">
      <c r="A600">
        <v>376</v>
      </c>
      <c r="B600" t="s">
        <v>580</v>
      </c>
      <c r="C600" t="str">
        <f t="shared" si="9"/>
        <v>86M²</v>
      </c>
      <c r="D600" s="2">
        <v>478.5</v>
      </c>
      <c r="E600" s="1">
        <v>8590.92</v>
      </c>
      <c r="F600" s="1">
        <f>Tabela1[[#This Row],[PR.CUSTO+FRETE]]-Tabela1[[#This Row],[FRETE]]</f>
        <v>8050.6935000000003</v>
      </c>
      <c r="G600" s="1">
        <v>12708.59</v>
      </c>
      <c r="H600" s="1">
        <f>Tabela1[[#This Row],[PESO UND]]/1000*(1129)</f>
        <v>540.22649999999999</v>
      </c>
      <c r="I600" s="1"/>
    </row>
    <row r="601" spans="1:9" x14ac:dyDescent="0.25">
      <c r="A601">
        <v>972</v>
      </c>
      <c r="B601" t="s">
        <v>581</v>
      </c>
      <c r="C601" t="str">
        <f t="shared" si="9"/>
        <v>22,5</v>
      </c>
      <c r="D601" s="2">
        <v>2069.62</v>
      </c>
      <c r="E601" s="1">
        <v>11557.95</v>
      </c>
      <c r="F601" s="1">
        <f>Tabela1[[#This Row],[PR.CUSTO+FRETE]]-Tabela1[[#This Row],[FRETE]]</f>
        <v>9221.3490200000015</v>
      </c>
      <c r="G601" s="1">
        <v>18961.63</v>
      </c>
      <c r="H601" s="1">
        <f>Tabela1[[#This Row],[PESO UND]]/1000*(1129)</f>
        <v>2336.6009800000002</v>
      </c>
      <c r="I601" s="1"/>
    </row>
    <row r="602" spans="1:9" x14ac:dyDescent="0.25">
      <c r="A602">
        <v>977</v>
      </c>
      <c r="B602" t="s">
        <v>582</v>
      </c>
      <c r="C602" t="str">
        <f t="shared" si="9"/>
        <v>22,5</v>
      </c>
      <c r="D602" s="2">
        <v>414.25</v>
      </c>
      <c r="E602" s="1">
        <v>2317.12</v>
      </c>
      <c r="F602" s="1">
        <f>Tabela1[[#This Row],[PR.CUSTO+FRETE]]-Tabela1[[#This Row],[FRETE]]</f>
        <v>1849.43175</v>
      </c>
      <c r="G602" s="1">
        <v>4011.17</v>
      </c>
      <c r="H602" s="1">
        <f>Tabela1[[#This Row],[PESO UND]]/1000*(1129)</f>
        <v>467.68824999999998</v>
      </c>
      <c r="I602" s="1"/>
    </row>
    <row r="603" spans="1:9" x14ac:dyDescent="0.25">
      <c r="A603">
        <v>975</v>
      </c>
      <c r="B603" t="s">
        <v>583</v>
      </c>
      <c r="C603" t="str">
        <f t="shared" si="9"/>
        <v>22,5</v>
      </c>
      <c r="D603" s="2">
        <v>30</v>
      </c>
      <c r="E603" s="1">
        <v>1309.6300000000001</v>
      </c>
      <c r="F603" s="1">
        <f>Tabela1[[#This Row],[PR.CUSTO+FRETE]]-Tabela1[[#This Row],[FRETE]]</f>
        <v>1275.7600000000002</v>
      </c>
      <c r="G603" s="1">
        <v>2013.93</v>
      </c>
      <c r="H603" s="1">
        <f>Tabela1[[#This Row],[PESO UND]]/1000*(1129)</f>
        <v>33.869999999999997</v>
      </c>
      <c r="I603" s="1"/>
    </row>
    <row r="604" spans="1:9" x14ac:dyDescent="0.25">
      <c r="A604">
        <v>974</v>
      </c>
      <c r="B604" t="s">
        <v>584</v>
      </c>
      <c r="C604" t="str">
        <f t="shared" si="9"/>
        <v>22,5</v>
      </c>
      <c r="D604" s="2">
        <v>192</v>
      </c>
      <c r="E604" s="1">
        <v>4227.97</v>
      </c>
      <c r="F604" s="1">
        <f>Tabela1[[#This Row],[PR.CUSTO+FRETE]]-Tabela1[[#This Row],[FRETE]]</f>
        <v>4011.2020000000002</v>
      </c>
      <c r="G604" s="1">
        <v>6278.5</v>
      </c>
      <c r="H604" s="1">
        <f>Tabela1[[#This Row],[PESO UND]]/1000*(1129)</f>
        <v>216.768</v>
      </c>
      <c r="I604" s="1"/>
    </row>
    <row r="605" spans="1:9" x14ac:dyDescent="0.25">
      <c r="A605">
        <v>973</v>
      </c>
      <c r="B605" t="s">
        <v>585</v>
      </c>
      <c r="C605" t="str">
        <f t="shared" si="9"/>
        <v>22,5</v>
      </c>
      <c r="D605" s="2">
        <v>192</v>
      </c>
      <c r="E605" s="1">
        <v>4092.57</v>
      </c>
      <c r="F605" s="1">
        <f>Tabela1[[#This Row],[PR.CUSTO+FRETE]]-Tabela1[[#This Row],[FRETE]]</f>
        <v>3875.8020000000001</v>
      </c>
      <c r="G605" s="1">
        <v>6064.75</v>
      </c>
      <c r="H605" s="1">
        <f>Tabela1[[#This Row],[PESO UND]]/1000*(1129)</f>
        <v>216.768</v>
      </c>
      <c r="I605" s="1"/>
    </row>
    <row r="606" spans="1:9" x14ac:dyDescent="0.25">
      <c r="A606">
        <v>976</v>
      </c>
      <c r="B606" t="s">
        <v>586</v>
      </c>
      <c r="C606" t="str">
        <f t="shared" si="9"/>
        <v>22.5</v>
      </c>
      <c r="D606" s="2">
        <v>438.5</v>
      </c>
      <c r="E606" s="1">
        <v>2431.33</v>
      </c>
      <c r="F606" s="1">
        <f>Tabela1[[#This Row],[PR.CUSTO+FRETE]]-Tabela1[[#This Row],[FRETE]]</f>
        <v>1936.2635</v>
      </c>
      <c r="G606" s="1">
        <v>4051.53</v>
      </c>
      <c r="H606" s="1">
        <f>Tabela1[[#This Row],[PESO UND]]/1000*(1129)</f>
        <v>495.06650000000002</v>
      </c>
      <c r="I606" s="1"/>
    </row>
    <row r="607" spans="1:9" x14ac:dyDescent="0.25">
      <c r="A607">
        <v>834</v>
      </c>
      <c r="B607" t="s">
        <v>587</v>
      </c>
      <c r="C607" t="str">
        <f t="shared" si="9"/>
        <v>26,7</v>
      </c>
      <c r="D607" s="2">
        <v>2764.48</v>
      </c>
      <c r="E607" s="1">
        <v>15976.57</v>
      </c>
      <c r="F607" s="1">
        <f>Tabela1[[#This Row],[PR.CUSTO+FRETE]]-Tabela1[[#This Row],[FRETE]]</f>
        <v>12855.47208</v>
      </c>
      <c r="G607" s="1">
        <v>26310.86</v>
      </c>
      <c r="H607" s="1">
        <f>Tabela1[[#This Row],[PESO UND]]/1000*(1129)</f>
        <v>3121.0979199999997</v>
      </c>
      <c r="I607" s="1"/>
    </row>
    <row r="608" spans="1:9" x14ac:dyDescent="0.25">
      <c r="A608">
        <v>840</v>
      </c>
      <c r="B608" t="s">
        <v>588</v>
      </c>
      <c r="C608" t="str">
        <f t="shared" si="9"/>
        <v>26,7</v>
      </c>
      <c r="D608" s="2">
        <v>362.3</v>
      </c>
      <c r="E608" s="1">
        <v>2004.21</v>
      </c>
      <c r="F608" s="1">
        <f>Tabela1[[#This Row],[PR.CUSTO+FRETE]]-Tabela1[[#This Row],[FRETE]]</f>
        <v>1595.1732999999999</v>
      </c>
      <c r="G608" s="1">
        <v>3449.4</v>
      </c>
      <c r="H608" s="1">
        <f>Tabela1[[#This Row],[PESO UND]]/1000*(1129)</f>
        <v>409.0367</v>
      </c>
      <c r="I608" s="1"/>
    </row>
    <row r="609" spans="1:9" x14ac:dyDescent="0.25">
      <c r="A609">
        <v>839</v>
      </c>
      <c r="B609" t="s">
        <v>589</v>
      </c>
      <c r="C609" t="str">
        <f t="shared" si="9"/>
        <v>26,7</v>
      </c>
      <c r="D609" s="2">
        <v>250.5</v>
      </c>
      <c r="E609" s="1">
        <v>1914.47</v>
      </c>
      <c r="F609" s="1">
        <f>Tabela1[[#This Row],[PR.CUSTO+FRETE]]-Tabela1[[#This Row],[FRETE]]</f>
        <v>1631.6555000000001</v>
      </c>
      <c r="G609" s="1">
        <v>3296.62</v>
      </c>
      <c r="H609" s="1">
        <f>Tabela1[[#This Row],[PESO UND]]/1000*(1129)</f>
        <v>282.81450000000001</v>
      </c>
      <c r="I609" s="1"/>
    </row>
    <row r="610" spans="1:9" x14ac:dyDescent="0.25">
      <c r="A610">
        <v>837</v>
      </c>
      <c r="B610" t="s">
        <v>590</v>
      </c>
      <c r="C610" t="str">
        <f t="shared" si="9"/>
        <v>26,7</v>
      </c>
      <c r="D610" s="2">
        <v>998.5</v>
      </c>
      <c r="E610" s="1">
        <v>5206.43</v>
      </c>
      <c r="F610" s="1">
        <f>Tabela1[[#This Row],[PR.CUSTO+FRETE]]-Tabela1[[#This Row],[FRETE]]</f>
        <v>4079.1235000000001</v>
      </c>
      <c r="G610" s="1">
        <v>8711.3799999999992</v>
      </c>
      <c r="H610" s="1">
        <f>Tabela1[[#This Row],[PESO UND]]/1000*(1129)</f>
        <v>1127.3065000000001</v>
      </c>
      <c r="I610" s="1"/>
    </row>
    <row r="611" spans="1:9" x14ac:dyDescent="0.25">
      <c r="A611">
        <v>838</v>
      </c>
      <c r="B611" t="s">
        <v>591</v>
      </c>
      <c r="C611" t="str">
        <f t="shared" si="9"/>
        <v>26,7</v>
      </c>
      <c r="D611" s="2">
        <v>30</v>
      </c>
      <c r="E611" s="1">
        <v>1309.6300000000001</v>
      </c>
      <c r="F611" s="1">
        <f>Tabela1[[#This Row],[PR.CUSTO+FRETE]]-Tabela1[[#This Row],[FRETE]]</f>
        <v>1275.7600000000002</v>
      </c>
      <c r="G611" s="1">
        <v>2013.93</v>
      </c>
      <c r="H611" s="1">
        <f>Tabela1[[#This Row],[PESO UND]]/1000*(1129)</f>
        <v>33.869999999999997</v>
      </c>
      <c r="I611" s="1"/>
    </row>
    <row r="612" spans="1:9" x14ac:dyDescent="0.25">
      <c r="A612">
        <v>836</v>
      </c>
      <c r="B612" t="s">
        <v>592</v>
      </c>
      <c r="C612" t="str">
        <f t="shared" si="9"/>
        <v>26,7</v>
      </c>
      <c r="D612" s="2">
        <v>243.7</v>
      </c>
      <c r="E612" s="1">
        <v>4565.53</v>
      </c>
      <c r="F612" s="1">
        <f>Tabela1[[#This Row],[PR.CUSTO+FRETE]]-Tabela1[[#This Row],[FRETE]]</f>
        <v>4290.3926999999994</v>
      </c>
      <c r="G612" s="1">
        <v>6772.67</v>
      </c>
      <c r="H612" s="1">
        <f>Tabela1[[#This Row],[PESO UND]]/1000*(1129)</f>
        <v>275.13729999999998</v>
      </c>
      <c r="I612" s="1"/>
    </row>
    <row r="613" spans="1:9" x14ac:dyDescent="0.25">
      <c r="A613">
        <v>835</v>
      </c>
      <c r="B613" t="s">
        <v>593</v>
      </c>
      <c r="C613" t="str">
        <f t="shared" si="9"/>
        <v>26,7</v>
      </c>
      <c r="D613" s="2">
        <v>243.7</v>
      </c>
      <c r="E613" s="1">
        <v>4393.2299999999996</v>
      </c>
      <c r="F613" s="1">
        <f>Tabela1[[#This Row],[PR.CUSTO+FRETE]]-Tabela1[[#This Row],[FRETE]]</f>
        <v>4118.0926999999992</v>
      </c>
      <c r="G613" s="1">
        <v>6500.72</v>
      </c>
      <c r="H613" s="1">
        <f>Tabela1[[#This Row],[PESO UND]]/1000*(1129)</f>
        <v>275.13729999999998</v>
      </c>
      <c r="I613" s="1"/>
    </row>
    <row r="614" spans="1:9" x14ac:dyDescent="0.25">
      <c r="A614">
        <v>478</v>
      </c>
      <c r="B614" t="s">
        <v>594</v>
      </c>
      <c r="C614" t="str">
        <f t="shared" si="9"/>
        <v>218,</v>
      </c>
      <c r="D614" s="2">
        <v>12311.3</v>
      </c>
      <c r="E614" s="1">
        <v>61014.82</v>
      </c>
      <c r="F614" s="1">
        <f>Tabela1[[#This Row],[PR.CUSTO+FRETE]]-Tabela1[[#This Row],[FRETE]]</f>
        <v>47115.362300000001</v>
      </c>
      <c r="G614" s="1">
        <v>102741.14</v>
      </c>
      <c r="H614" s="1">
        <f>Tabela1[[#This Row],[PESO UND]]/1000*(1129)</f>
        <v>13899.457699999999</v>
      </c>
      <c r="I614" s="1"/>
    </row>
    <row r="615" spans="1:9" x14ac:dyDescent="0.25">
      <c r="A615">
        <v>477</v>
      </c>
      <c r="B615" t="s">
        <v>595</v>
      </c>
      <c r="C615" t="str">
        <f t="shared" si="9"/>
        <v>218,</v>
      </c>
      <c r="D615" s="2">
        <v>5846</v>
      </c>
      <c r="E615" s="1">
        <v>30317.14</v>
      </c>
      <c r="F615" s="1">
        <f>Tabela1[[#This Row],[PR.CUSTO+FRETE]]-Tabela1[[#This Row],[FRETE]]</f>
        <v>23717.006000000001</v>
      </c>
      <c r="G615" s="1">
        <v>50745.440000000002</v>
      </c>
      <c r="H615" s="1">
        <f>Tabela1[[#This Row],[PESO UND]]/1000*(1129)</f>
        <v>6600.134</v>
      </c>
      <c r="I615" s="1"/>
    </row>
    <row r="616" spans="1:9" x14ac:dyDescent="0.25">
      <c r="A616">
        <v>476</v>
      </c>
      <c r="B616" t="s">
        <v>596</v>
      </c>
      <c r="C616" t="str">
        <f t="shared" si="9"/>
        <v>218,</v>
      </c>
      <c r="D616" s="2">
        <v>191.25</v>
      </c>
      <c r="E616" s="1">
        <v>8348.89</v>
      </c>
      <c r="F616" s="1">
        <f>Tabela1[[#This Row],[PR.CUSTO+FRETE]]-Tabela1[[#This Row],[FRETE]]</f>
        <v>8132.9687499999991</v>
      </c>
      <c r="G616" s="1">
        <v>12838.8</v>
      </c>
      <c r="H616" s="1">
        <f>Tabela1[[#This Row],[PESO UND]]/1000*(1129)</f>
        <v>215.92125000000001</v>
      </c>
      <c r="I616" s="1"/>
    </row>
    <row r="617" spans="1:9" x14ac:dyDescent="0.25">
      <c r="A617">
        <v>475</v>
      </c>
      <c r="B617" t="s">
        <v>597</v>
      </c>
      <c r="C617" t="str">
        <f t="shared" si="9"/>
        <v>218,</v>
      </c>
      <c r="D617" s="2">
        <v>688.8</v>
      </c>
      <c r="E617" s="1">
        <v>12851.67</v>
      </c>
      <c r="F617" s="1">
        <f>Tabela1[[#This Row],[PR.CUSTO+FRETE]]-Tabela1[[#This Row],[FRETE]]</f>
        <v>12074.014800000001</v>
      </c>
      <c r="G617" s="1">
        <v>19059.7</v>
      </c>
      <c r="H617" s="1">
        <f>Tabela1[[#This Row],[PESO UND]]/1000*(1129)</f>
        <v>777.65519999999992</v>
      </c>
      <c r="I617" s="1"/>
    </row>
    <row r="618" spans="1:9" x14ac:dyDescent="0.25">
      <c r="A618">
        <v>474</v>
      </c>
      <c r="B618" t="s">
        <v>598</v>
      </c>
      <c r="C618" t="str">
        <f t="shared" si="9"/>
        <v>218,</v>
      </c>
      <c r="D618" s="2">
        <v>688.8</v>
      </c>
      <c r="E618" s="1">
        <v>12366.05</v>
      </c>
      <c r="F618" s="1">
        <f>Tabela1[[#This Row],[PR.CUSTO+FRETE]]-Tabela1[[#This Row],[FRETE]]</f>
        <v>11588.3948</v>
      </c>
      <c r="G618" s="1">
        <v>18293.099999999999</v>
      </c>
      <c r="H618" s="1">
        <f>Tabela1[[#This Row],[PESO UND]]/1000*(1129)</f>
        <v>777.65519999999992</v>
      </c>
      <c r="I618" s="1"/>
    </row>
    <row r="619" spans="1:9" x14ac:dyDescent="0.25">
      <c r="A619">
        <v>456</v>
      </c>
      <c r="B619" t="s">
        <v>599</v>
      </c>
      <c r="C619" t="str">
        <f t="shared" si="9"/>
        <v>294,</v>
      </c>
      <c r="D619" s="2">
        <v>22064.47</v>
      </c>
      <c r="E619" s="1">
        <v>131959.10999999999</v>
      </c>
      <c r="F619" s="1">
        <f>Tabela1[[#This Row],[PR.CUSTO+FRETE]]-Tabela1[[#This Row],[FRETE]]</f>
        <v>107048.32336999998</v>
      </c>
      <c r="G619" s="1">
        <v>215846.32</v>
      </c>
      <c r="H619" s="1">
        <f>Tabela1[[#This Row],[PESO UND]]/1000*(1129)</f>
        <v>24910.786629999999</v>
      </c>
      <c r="I619" s="1"/>
    </row>
    <row r="620" spans="1:9" x14ac:dyDescent="0.25">
      <c r="A620">
        <v>468</v>
      </c>
      <c r="B620" t="s">
        <v>600</v>
      </c>
      <c r="C620" t="str">
        <f t="shared" si="9"/>
        <v>294,</v>
      </c>
      <c r="D620" s="2">
        <v>1436.8</v>
      </c>
      <c r="E620" s="1">
        <v>9039.92</v>
      </c>
      <c r="F620" s="1">
        <f>Tabela1[[#This Row],[PR.CUSTO+FRETE]]-Tabela1[[#This Row],[FRETE]]</f>
        <v>7417.7728000000006</v>
      </c>
      <c r="G620" s="1">
        <v>16015.37</v>
      </c>
      <c r="H620" s="1">
        <f>Tabela1[[#This Row],[PESO UND]]/1000*(1129)</f>
        <v>1622.1471999999999</v>
      </c>
      <c r="I620" s="1"/>
    </row>
    <row r="621" spans="1:9" x14ac:dyDescent="0.25">
      <c r="A621">
        <v>467</v>
      </c>
      <c r="B621" t="s">
        <v>601</v>
      </c>
      <c r="C621" t="str">
        <f t="shared" si="9"/>
        <v>294,</v>
      </c>
      <c r="D621" s="2">
        <v>3980</v>
      </c>
      <c r="E621" s="1">
        <v>20642.73</v>
      </c>
      <c r="F621" s="1">
        <f>Tabela1[[#This Row],[PR.CUSTO+FRETE]]-Tabela1[[#This Row],[FRETE]]</f>
        <v>16149.31</v>
      </c>
      <c r="G621" s="1">
        <v>34551.910000000003</v>
      </c>
      <c r="H621" s="1">
        <f>Tabela1[[#This Row],[PESO UND]]/1000*(1129)</f>
        <v>4493.42</v>
      </c>
      <c r="I621" s="1"/>
    </row>
    <row r="622" spans="1:9" x14ac:dyDescent="0.25">
      <c r="A622">
        <v>466</v>
      </c>
      <c r="B622" t="s">
        <v>602</v>
      </c>
      <c r="C622" t="str">
        <f t="shared" si="9"/>
        <v>294,</v>
      </c>
      <c r="D622" s="2">
        <v>138.75</v>
      </c>
      <c r="E622" s="1">
        <v>6057.04</v>
      </c>
      <c r="F622" s="1">
        <f>Tabela1[[#This Row],[PR.CUSTO+FRETE]]-Tabela1[[#This Row],[FRETE]]</f>
        <v>5900.3912499999997</v>
      </c>
      <c r="G622" s="1">
        <v>9314.42</v>
      </c>
      <c r="H622" s="1">
        <f>Tabela1[[#This Row],[PESO UND]]/1000*(1129)</f>
        <v>156.64875000000001</v>
      </c>
      <c r="I622" s="1"/>
    </row>
    <row r="623" spans="1:9" x14ac:dyDescent="0.25">
      <c r="A623">
        <v>465</v>
      </c>
      <c r="B623" t="s">
        <v>603</v>
      </c>
      <c r="C623" t="str">
        <f t="shared" si="9"/>
        <v>294,</v>
      </c>
      <c r="D623" s="2">
        <v>1368.7</v>
      </c>
      <c r="E623" s="1">
        <v>25500.6</v>
      </c>
      <c r="F623" s="1">
        <f>Tabela1[[#This Row],[PR.CUSTO+FRETE]]-Tabela1[[#This Row],[FRETE]]</f>
        <v>23955.3377</v>
      </c>
      <c r="G623" s="1">
        <v>37815.199999999997</v>
      </c>
      <c r="H623" s="1">
        <f>Tabela1[[#This Row],[PESO UND]]/1000*(1129)</f>
        <v>1545.2623000000001</v>
      </c>
      <c r="I623" s="1"/>
    </row>
    <row r="624" spans="1:9" x14ac:dyDescent="0.25">
      <c r="A624">
        <v>464</v>
      </c>
      <c r="B624" t="s">
        <v>604</v>
      </c>
      <c r="C624" t="str">
        <f t="shared" si="9"/>
        <v>294,</v>
      </c>
      <c r="D624" s="2">
        <v>1368.7</v>
      </c>
      <c r="E624" s="1">
        <v>24536.53</v>
      </c>
      <c r="F624" s="1">
        <f>Tabela1[[#This Row],[PR.CUSTO+FRETE]]-Tabela1[[#This Row],[FRETE]]</f>
        <v>22991.2677</v>
      </c>
      <c r="G624" s="1">
        <v>36293.35</v>
      </c>
      <c r="H624" s="1">
        <f>Tabela1[[#This Row],[PESO UND]]/1000*(1129)</f>
        <v>1545.2623000000001</v>
      </c>
      <c r="I624" s="1"/>
    </row>
    <row r="625" spans="1:9" x14ac:dyDescent="0.25">
      <c r="A625">
        <v>405</v>
      </c>
      <c r="B625" t="s">
        <v>951</v>
      </c>
      <c r="C625" t="str">
        <f t="shared" si="9"/>
        <v>33,7</v>
      </c>
      <c r="D625" s="2">
        <v>5626.47</v>
      </c>
      <c r="E625" s="1">
        <v>29545.19</v>
      </c>
      <c r="F625" s="1">
        <f>Tabela1[[#This Row],[PR.CUSTO+FRETE]]-Tabela1[[#This Row],[FRETE]]</f>
        <v>23192.90537</v>
      </c>
      <c r="G625" s="1">
        <v>49573.11</v>
      </c>
      <c r="H625" s="1">
        <f>Tabela1[[#This Row],[PESO UND]]/1000*(1129)</f>
        <v>6352.2846300000001</v>
      </c>
      <c r="I625" s="1"/>
    </row>
    <row r="626" spans="1:9" x14ac:dyDescent="0.25">
      <c r="A626">
        <v>1262</v>
      </c>
      <c r="B626" t="s">
        <v>605</v>
      </c>
      <c r="C626" t="str">
        <f t="shared" si="9"/>
        <v>20,0</v>
      </c>
      <c r="D626" s="2">
        <v>3134.71</v>
      </c>
      <c r="E626" s="1">
        <v>15436.96</v>
      </c>
      <c r="F626" s="1">
        <f>Tabela1[[#This Row],[PR.CUSTO+FRETE]]-Tabela1[[#This Row],[FRETE]]</f>
        <v>11897.87241</v>
      </c>
      <c r="G626" s="1">
        <v>24580.25</v>
      </c>
      <c r="H626" s="1">
        <f>Tabela1[[#This Row],[PESO UND]]/1000*(1129)</f>
        <v>3539.0875900000001</v>
      </c>
      <c r="I626" s="1"/>
    </row>
    <row r="627" spans="1:9" x14ac:dyDescent="0.25">
      <c r="A627">
        <v>1267</v>
      </c>
      <c r="B627" t="s">
        <v>606</v>
      </c>
      <c r="C627" t="str">
        <f t="shared" si="9"/>
        <v>20,0</v>
      </c>
      <c r="D627" s="2">
        <v>119.2</v>
      </c>
      <c r="E627" s="1">
        <v>1003.5</v>
      </c>
      <c r="F627" s="1">
        <f>Tabela1[[#This Row],[PR.CUSTO+FRETE]]-Tabela1[[#This Row],[FRETE]]</f>
        <v>868.92319999999995</v>
      </c>
      <c r="G627" s="1">
        <v>1705.21</v>
      </c>
      <c r="H627" s="1">
        <f>Tabela1[[#This Row],[PESO UND]]/1000*(1129)</f>
        <v>134.57679999999999</v>
      </c>
      <c r="I627" s="1"/>
    </row>
    <row r="628" spans="1:9" x14ac:dyDescent="0.25">
      <c r="A628">
        <v>1266</v>
      </c>
      <c r="B628" t="s">
        <v>607</v>
      </c>
      <c r="C628" t="str">
        <f t="shared" si="9"/>
        <v>20,0</v>
      </c>
      <c r="D628" s="2">
        <v>525</v>
      </c>
      <c r="E628" s="1">
        <v>2926.31</v>
      </c>
      <c r="F628" s="1">
        <f>Tabela1[[#This Row],[PR.CUSTO+FRETE]]-Tabela1[[#This Row],[FRETE]]</f>
        <v>2333.585</v>
      </c>
      <c r="G628" s="1">
        <v>4929.6000000000004</v>
      </c>
      <c r="H628" s="1">
        <f>Tabela1[[#This Row],[PESO UND]]/1000*(1129)</f>
        <v>592.72500000000002</v>
      </c>
      <c r="I628" s="1"/>
    </row>
    <row r="629" spans="1:9" x14ac:dyDescent="0.25">
      <c r="A629">
        <v>1265</v>
      </c>
      <c r="B629" t="s">
        <v>608</v>
      </c>
      <c r="C629" t="str">
        <f t="shared" si="9"/>
        <v>20,0</v>
      </c>
      <c r="D629" s="2">
        <v>28.8</v>
      </c>
      <c r="E629" s="1">
        <v>1390.04</v>
      </c>
      <c r="F629" s="1">
        <f>Tabela1[[#This Row],[PR.CUSTO+FRETE]]-Tabela1[[#This Row],[FRETE]]</f>
        <v>1357.5247999999999</v>
      </c>
      <c r="G629" s="1">
        <v>2142.9899999999998</v>
      </c>
      <c r="H629" s="1">
        <f>Tabela1[[#This Row],[PESO UND]]/1000*(1129)</f>
        <v>32.5152</v>
      </c>
      <c r="I629" s="1"/>
    </row>
    <row r="630" spans="1:9" x14ac:dyDescent="0.25">
      <c r="A630">
        <v>1264</v>
      </c>
      <c r="B630" t="s">
        <v>609</v>
      </c>
      <c r="C630" t="str">
        <f t="shared" si="9"/>
        <v>20,0</v>
      </c>
      <c r="D630" s="2">
        <v>228.2</v>
      </c>
      <c r="E630" s="1">
        <v>4300.4799999999996</v>
      </c>
      <c r="F630" s="1">
        <f>Tabela1[[#This Row],[PR.CUSTO+FRETE]]-Tabela1[[#This Row],[FRETE]]</f>
        <v>4042.8421999999996</v>
      </c>
      <c r="G630" s="1">
        <v>6381.94</v>
      </c>
      <c r="H630" s="1">
        <f>Tabela1[[#This Row],[PESO UND]]/1000*(1129)</f>
        <v>257.63779999999997</v>
      </c>
      <c r="I630" s="1"/>
    </row>
    <row r="631" spans="1:9" x14ac:dyDescent="0.25">
      <c r="A631">
        <v>1263</v>
      </c>
      <c r="B631" t="s">
        <v>610</v>
      </c>
      <c r="C631" t="str">
        <f t="shared" si="9"/>
        <v>20,0</v>
      </c>
      <c r="D631" s="2">
        <v>228.2</v>
      </c>
      <c r="E631" s="1">
        <v>4154.21</v>
      </c>
      <c r="F631" s="1">
        <f>Tabela1[[#This Row],[PR.CUSTO+FRETE]]-Tabela1[[#This Row],[FRETE]]</f>
        <v>3896.5722000000001</v>
      </c>
      <c r="G631" s="1">
        <v>6151.04</v>
      </c>
      <c r="H631" s="1">
        <f>Tabela1[[#This Row],[PESO UND]]/1000*(1129)</f>
        <v>257.63779999999997</v>
      </c>
      <c r="I631" s="1"/>
    </row>
    <row r="632" spans="1:9" x14ac:dyDescent="0.25">
      <c r="A632">
        <v>723</v>
      </c>
      <c r="B632" t="s">
        <v>611</v>
      </c>
      <c r="C632" t="str">
        <f t="shared" si="9"/>
        <v xml:space="preserve"> 94,</v>
      </c>
      <c r="D632" s="2">
        <v>362.2</v>
      </c>
      <c r="E632" s="1">
        <v>6831.36</v>
      </c>
      <c r="F632" s="1">
        <f>Tabela1[[#This Row],[PR.CUSTO+FRETE]]-Tabela1[[#This Row],[FRETE]]</f>
        <v>6422.4362000000001</v>
      </c>
      <c r="G632" s="1">
        <v>10138.27</v>
      </c>
      <c r="H632" s="1">
        <f>Tabela1[[#This Row],[PESO UND]]/1000*(1129)</f>
        <v>408.92379999999997</v>
      </c>
      <c r="I632" s="1"/>
    </row>
    <row r="633" spans="1:9" x14ac:dyDescent="0.25">
      <c r="A633">
        <v>721</v>
      </c>
      <c r="B633" t="s">
        <v>612</v>
      </c>
      <c r="C633" t="str">
        <f t="shared" si="9"/>
        <v>94,2</v>
      </c>
      <c r="D633" s="2">
        <v>11195.58</v>
      </c>
      <c r="E633" s="1">
        <v>53333.4</v>
      </c>
      <c r="F633" s="1">
        <f>Tabela1[[#This Row],[PR.CUSTO+FRETE]]-Tabela1[[#This Row],[FRETE]]</f>
        <v>40693.590179999999</v>
      </c>
      <c r="G633" s="1">
        <v>88046.53</v>
      </c>
      <c r="H633" s="1">
        <f>Tabela1[[#This Row],[PESO UND]]/1000*(1129)</f>
        <v>12639.80982</v>
      </c>
      <c r="I633" s="1"/>
    </row>
    <row r="634" spans="1:9" x14ac:dyDescent="0.25">
      <c r="A634">
        <v>726</v>
      </c>
      <c r="B634" t="s">
        <v>613</v>
      </c>
      <c r="C634" t="str">
        <f t="shared" si="9"/>
        <v>94,2</v>
      </c>
      <c r="D634" s="2">
        <v>1324.5</v>
      </c>
      <c r="E634" s="1">
        <v>6870.63</v>
      </c>
      <c r="F634" s="1">
        <f>Tabela1[[#This Row],[PR.CUSTO+FRETE]]-Tabela1[[#This Row],[FRETE]]</f>
        <v>5375.2695000000003</v>
      </c>
      <c r="G634" s="1">
        <v>11499.98</v>
      </c>
      <c r="H634" s="1">
        <f>Tabela1[[#This Row],[PESO UND]]/1000*(1129)</f>
        <v>1495.3605</v>
      </c>
      <c r="I634" s="1"/>
    </row>
    <row r="635" spans="1:9" x14ac:dyDescent="0.25">
      <c r="A635">
        <v>724</v>
      </c>
      <c r="B635" t="s">
        <v>614</v>
      </c>
      <c r="C635" t="str">
        <f t="shared" si="9"/>
        <v>94,2</v>
      </c>
      <c r="D635" s="2">
        <v>52.5</v>
      </c>
      <c r="E635" s="1">
        <v>2291.85</v>
      </c>
      <c r="F635" s="1">
        <f>Tabela1[[#This Row],[PR.CUSTO+FRETE]]-Tabela1[[#This Row],[FRETE]]</f>
        <v>2232.5774999999999</v>
      </c>
      <c r="G635" s="1">
        <v>3524.38</v>
      </c>
      <c r="H635" s="1">
        <f>Tabela1[[#This Row],[PESO UND]]/1000*(1129)</f>
        <v>59.272500000000001</v>
      </c>
      <c r="I635" s="1"/>
    </row>
    <row r="636" spans="1:9" x14ac:dyDescent="0.25">
      <c r="A636">
        <v>722</v>
      </c>
      <c r="B636" t="s">
        <v>615</v>
      </c>
      <c r="C636" t="str">
        <f t="shared" si="9"/>
        <v>94,2</v>
      </c>
      <c r="D636" s="2">
        <v>362.2</v>
      </c>
      <c r="E636" s="1">
        <v>6574.15</v>
      </c>
      <c r="F636" s="1">
        <f>Tabela1[[#This Row],[PR.CUSTO+FRETE]]-Tabela1[[#This Row],[FRETE]]</f>
        <v>6165.2262000000001</v>
      </c>
      <c r="G636" s="1">
        <v>9732.24</v>
      </c>
      <c r="H636" s="1">
        <f>Tabela1[[#This Row],[PESO UND]]/1000*(1129)</f>
        <v>408.92379999999997</v>
      </c>
      <c r="I636" s="1"/>
    </row>
    <row r="637" spans="1:9" x14ac:dyDescent="0.25">
      <c r="A637">
        <v>566</v>
      </c>
      <c r="B637" t="s">
        <v>616</v>
      </c>
      <c r="C637" t="str">
        <f t="shared" si="9"/>
        <v>61,9</v>
      </c>
      <c r="D637" s="2">
        <v>5591.4</v>
      </c>
      <c r="E637" s="1">
        <v>29096.41</v>
      </c>
      <c r="F637" s="1">
        <f>Tabela1[[#This Row],[PR.CUSTO+FRETE]]-Tabela1[[#This Row],[FRETE]]</f>
        <v>22783.719400000002</v>
      </c>
      <c r="G637" s="1">
        <v>47870.15</v>
      </c>
      <c r="H637" s="1">
        <f>Tabela1[[#This Row],[PESO UND]]/1000*(1129)</f>
        <v>6312.690599999999</v>
      </c>
      <c r="I637" s="1"/>
    </row>
    <row r="638" spans="1:9" x14ac:dyDescent="0.25">
      <c r="A638">
        <v>568</v>
      </c>
      <c r="B638" t="s">
        <v>617</v>
      </c>
      <c r="C638" t="str">
        <f t="shared" si="9"/>
        <v>61,9</v>
      </c>
      <c r="D638" s="2">
        <v>1340.5</v>
      </c>
      <c r="E638" s="1">
        <v>8242.61</v>
      </c>
      <c r="F638" s="1">
        <f>Tabela1[[#This Row],[PR.CUSTO+FRETE]]-Tabela1[[#This Row],[FRETE]]</f>
        <v>6729.1855000000005</v>
      </c>
      <c r="G638" s="1">
        <v>14643.35</v>
      </c>
      <c r="H638" s="1">
        <f>Tabela1[[#This Row],[PESO UND]]/1000*(1129)</f>
        <v>1513.4245000000001</v>
      </c>
      <c r="I638" s="1"/>
    </row>
    <row r="639" spans="1:9" x14ac:dyDescent="0.25">
      <c r="A639">
        <v>567</v>
      </c>
      <c r="B639" t="s">
        <v>618</v>
      </c>
      <c r="C639" t="str">
        <f t="shared" si="9"/>
        <v>61,9</v>
      </c>
      <c r="D639" s="2">
        <v>198.8</v>
      </c>
      <c r="E639" s="1">
        <v>1324.34</v>
      </c>
      <c r="F639" s="1">
        <f>Tabela1[[#This Row],[PR.CUSTO+FRETE]]-Tabela1[[#This Row],[FRETE]]</f>
        <v>1099.8948</v>
      </c>
      <c r="G639" s="1">
        <v>2322.7600000000002</v>
      </c>
      <c r="H639" s="1">
        <f>Tabela1[[#This Row],[PESO UND]]/1000*(1129)</f>
        <v>224.4452</v>
      </c>
      <c r="I639" s="1"/>
    </row>
    <row r="640" spans="1:9" x14ac:dyDescent="0.25">
      <c r="A640">
        <v>572</v>
      </c>
      <c r="B640" t="s">
        <v>619</v>
      </c>
      <c r="C640" t="str">
        <f t="shared" si="9"/>
        <v>61,9</v>
      </c>
      <c r="D640" s="2">
        <v>1681.8</v>
      </c>
      <c r="E640" s="1">
        <v>9776.3799999999992</v>
      </c>
      <c r="F640" s="1">
        <f>Tabela1[[#This Row],[PR.CUSTO+FRETE]]-Tabela1[[#This Row],[FRETE]]</f>
        <v>7877.6277999999993</v>
      </c>
      <c r="G640" s="1">
        <v>16088.75</v>
      </c>
      <c r="H640" s="1">
        <f>Tabela1[[#This Row],[PESO UND]]/1000*(1129)</f>
        <v>1898.7521999999999</v>
      </c>
      <c r="I640" s="1"/>
    </row>
    <row r="641" spans="1:9" x14ac:dyDescent="0.25">
      <c r="A641">
        <v>571</v>
      </c>
      <c r="B641" t="s">
        <v>620</v>
      </c>
      <c r="C641" t="str">
        <f t="shared" si="9"/>
        <v>61,9</v>
      </c>
      <c r="D641" s="2">
        <v>56.25</v>
      </c>
      <c r="E641" s="1">
        <v>2455.56</v>
      </c>
      <c r="F641" s="1">
        <f>Tabela1[[#This Row],[PR.CUSTO+FRETE]]-Tabela1[[#This Row],[FRETE]]</f>
        <v>2392.05375</v>
      </c>
      <c r="G641" s="1">
        <v>3776.12</v>
      </c>
      <c r="H641" s="1">
        <f>Tabela1[[#This Row],[PESO UND]]/1000*(1129)</f>
        <v>63.506250000000001</v>
      </c>
      <c r="I641" s="1"/>
    </row>
    <row r="642" spans="1:9" x14ac:dyDescent="0.25">
      <c r="A642">
        <v>570</v>
      </c>
      <c r="B642" t="s">
        <v>621</v>
      </c>
      <c r="C642" t="str">
        <f t="shared" ref="C642:C705" si="10">IFERROR(MID(B642,FIND("(",B642)+1,4),"")</f>
        <v>61,9</v>
      </c>
      <c r="D642" s="2">
        <v>393.3</v>
      </c>
      <c r="E642" s="1">
        <v>7317.79</v>
      </c>
      <c r="F642" s="1">
        <f>Tabela1[[#This Row],[PR.CUSTO+FRETE]]-Tabela1[[#This Row],[FRETE]]</f>
        <v>6873.7542999999996</v>
      </c>
      <c r="G642" s="1">
        <v>10850.73</v>
      </c>
      <c r="H642" s="1">
        <f>Tabela1[[#This Row],[PESO UND]]/1000*(1129)</f>
        <v>444.03570000000002</v>
      </c>
      <c r="I642" s="1"/>
    </row>
    <row r="643" spans="1:9" x14ac:dyDescent="0.25">
      <c r="A643">
        <v>569</v>
      </c>
      <c r="B643" t="s">
        <v>622</v>
      </c>
      <c r="C643" t="str">
        <f t="shared" si="10"/>
        <v>61,9</v>
      </c>
      <c r="D643" s="2">
        <v>393.3</v>
      </c>
      <c r="E643" s="1">
        <v>7041.03</v>
      </c>
      <c r="F643" s="1">
        <f>Tabela1[[#This Row],[PR.CUSTO+FRETE]]-Tabela1[[#This Row],[FRETE]]</f>
        <v>6596.9942999999994</v>
      </c>
      <c r="G643" s="1">
        <v>10413.799999999999</v>
      </c>
      <c r="H643" s="1">
        <f>Tabela1[[#This Row],[PESO UND]]/1000*(1129)</f>
        <v>444.03570000000002</v>
      </c>
      <c r="I643" s="1"/>
    </row>
    <row r="644" spans="1:9" x14ac:dyDescent="0.25">
      <c r="A644">
        <v>285</v>
      </c>
      <c r="B644" t="s">
        <v>623</v>
      </c>
      <c r="C644" t="str">
        <f t="shared" si="10"/>
        <v>15M²</v>
      </c>
      <c r="D644" s="2">
        <v>1677.65</v>
      </c>
      <c r="E644" s="1">
        <v>9400.83</v>
      </c>
      <c r="F644" s="1">
        <f>Tabela1[[#This Row],[PR.CUSTO+FRETE]]-Tabela1[[#This Row],[FRETE]]</f>
        <v>7506.7631499999998</v>
      </c>
      <c r="G644" s="1">
        <v>15300.56</v>
      </c>
      <c r="H644" s="1">
        <f>Tabela1[[#This Row],[PESO UND]]/1000*(1129)</f>
        <v>1894.0668500000002</v>
      </c>
      <c r="I644" s="1"/>
    </row>
    <row r="645" spans="1:9" x14ac:dyDescent="0.25">
      <c r="A645">
        <v>731</v>
      </c>
      <c r="B645" t="s">
        <v>624</v>
      </c>
      <c r="C645" t="str">
        <f t="shared" si="10"/>
        <v>15M²</v>
      </c>
      <c r="D645" s="2">
        <v>357.95</v>
      </c>
      <c r="E645" s="1">
        <v>1946.81</v>
      </c>
      <c r="F645" s="1">
        <f>Tabela1[[#This Row],[PR.CUSTO+FRETE]]-Tabela1[[#This Row],[FRETE]]</f>
        <v>1542.68445</v>
      </c>
      <c r="G645" s="1">
        <v>3333.41</v>
      </c>
      <c r="H645" s="1">
        <f>Tabela1[[#This Row],[PESO UND]]/1000*(1129)</f>
        <v>404.12554999999998</v>
      </c>
      <c r="I645" s="1"/>
    </row>
    <row r="646" spans="1:9" x14ac:dyDescent="0.25">
      <c r="A646">
        <v>833</v>
      </c>
      <c r="B646" t="s">
        <v>625</v>
      </c>
      <c r="C646" t="str">
        <f t="shared" si="10"/>
        <v>15M²</v>
      </c>
      <c r="D646" s="2">
        <v>115.6</v>
      </c>
      <c r="E646" s="1">
        <v>829.75</v>
      </c>
      <c r="F646" s="1">
        <f>Tabela1[[#This Row],[PR.CUSTO+FRETE]]-Tabela1[[#This Row],[FRETE]]</f>
        <v>699.23760000000004</v>
      </c>
      <c r="G646" s="1">
        <v>1437.34</v>
      </c>
      <c r="H646" s="1">
        <f>Tabela1[[#This Row],[PESO UND]]/1000*(1129)</f>
        <v>130.51239999999999</v>
      </c>
      <c r="I646" s="1"/>
    </row>
    <row r="647" spans="1:9" x14ac:dyDescent="0.25">
      <c r="A647">
        <v>289</v>
      </c>
      <c r="B647" t="s">
        <v>626</v>
      </c>
      <c r="C647" t="str">
        <f t="shared" si="10"/>
        <v>15M²</v>
      </c>
      <c r="D647" s="2">
        <v>410</v>
      </c>
      <c r="E647" s="1">
        <v>2245.41</v>
      </c>
      <c r="F647" s="1">
        <f>Tabela1[[#This Row],[PR.CUSTO+FRETE]]-Tabela1[[#This Row],[FRETE]]</f>
        <v>1782.52</v>
      </c>
      <c r="G647" s="1">
        <v>3787.63</v>
      </c>
      <c r="H647" s="1">
        <f>Tabela1[[#This Row],[PESO UND]]/1000*(1129)</f>
        <v>462.89</v>
      </c>
      <c r="I647" s="1"/>
    </row>
    <row r="648" spans="1:9" x14ac:dyDescent="0.25">
      <c r="A648">
        <v>288</v>
      </c>
      <c r="B648" t="s">
        <v>627</v>
      </c>
      <c r="C648" t="str">
        <f t="shared" si="10"/>
        <v>15M²</v>
      </c>
      <c r="D648" s="2">
        <v>18.75</v>
      </c>
      <c r="E648" s="1">
        <v>818.52</v>
      </c>
      <c r="F648" s="1">
        <f>Tabela1[[#This Row],[PR.CUSTO+FRETE]]-Tabela1[[#This Row],[FRETE]]</f>
        <v>797.35124999999994</v>
      </c>
      <c r="G648" s="1">
        <v>1258.71</v>
      </c>
      <c r="H648" s="1">
        <f>Tabela1[[#This Row],[PESO UND]]/1000*(1129)</f>
        <v>21.168749999999999</v>
      </c>
      <c r="I648" s="1"/>
    </row>
    <row r="649" spans="1:9" x14ac:dyDescent="0.25">
      <c r="A649">
        <v>287</v>
      </c>
      <c r="B649" t="s">
        <v>628</v>
      </c>
      <c r="C649" t="str">
        <f t="shared" si="10"/>
        <v>15M²</v>
      </c>
      <c r="D649" s="2">
        <v>213.3</v>
      </c>
      <c r="E649" s="1">
        <v>4639.34</v>
      </c>
      <c r="F649" s="1">
        <f>Tabela1[[#This Row],[PR.CUSTO+FRETE]]-Tabela1[[#This Row],[FRETE]]</f>
        <v>4398.5243</v>
      </c>
      <c r="G649" s="1">
        <v>6889.04</v>
      </c>
      <c r="H649" s="1">
        <f>Tabela1[[#This Row],[PESO UND]]/1000*(1129)</f>
        <v>240.81570000000002</v>
      </c>
      <c r="I649" s="1"/>
    </row>
    <row r="650" spans="1:9" x14ac:dyDescent="0.25">
      <c r="A650">
        <v>286</v>
      </c>
      <c r="B650" t="s">
        <v>629</v>
      </c>
      <c r="C650" t="str">
        <f t="shared" si="10"/>
        <v>15M²</v>
      </c>
      <c r="D650" s="2">
        <v>213.3</v>
      </c>
      <c r="E650" s="1">
        <v>4488.79</v>
      </c>
      <c r="F650" s="1">
        <f>Tabela1[[#This Row],[PR.CUSTO+FRETE]]-Tabela1[[#This Row],[FRETE]]</f>
        <v>4247.9742999999999</v>
      </c>
      <c r="G650" s="1">
        <v>6651.37</v>
      </c>
      <c r="H650" s="1">
        <f>Tabela1[[#This Row],[PESO UND]]/1000*(1129)</f>
        <v>240.81570000000002</v>
      </c>
      <c r="I650" s="1"/>
    </row>
    <row r="651" spans="1:9" x14ac:dyDescent="0.25">
      <c r="A651">
        <v>1215</v>
      </c>
      <c r="B651" t="s">
        <v>952</v>
      </c>
      <c r="C651" t="str">
        <f t="shared" si="10"/>
        <v>15,0</v>
      </c>
      <c r="D651" s="2">
        <v>0</v>
      </c>
      <c r="E651" s="1">
        <v>0</v>
      </c>
      <c r="F651" s="1">
        <f>Tabela1[[#This Row],[PR.CUSTO+FRETE]]-Tabela1[[#This Row],[FRETE]]</f>
        <v>0</v>
      </c>
      <c r="G651" s="1">
        <v>13908.39</v>
      </c>
      <c r="H651" s="1">
        <f>Tabela1[[#This Row],[PESO UND]]/1000*(1129)</f>
        <v>0</v>
      </c>
      <c r="I651" s="1"/>
    </row>
    <row r="652" spans="1:9" x14ac:dyDescent="0.25">
      <c r="A652">
        <v>847</v>
      </c>
      <c r="B652" t="s">
        <v>630</v>
      </c>
      <c r="C652" t="str">
        <f t="shared" si="10"/>
        <v>22,5</v>
      </c>
      <c r="D652" s="2">
        <v>471.25</v>
      </c>
      <c r="E652" s="1">
        <v>2533.29</v>
      </c>
      <c r="F652" s="1">
        <f>Tabela1[[#This Row],[PR.CUSTO+FRETE]]-Tabela1[[#This Row],[FRETE]]</f>
        <v>2001.24875</v>
      </c>
      <c r="G652" s="1">
        <v>4346.6400000000003</v>
      </c>
      <c r="H652" s="1">
        <f>Tabela1[[#This Row],[PESO UND]]/1000*(1129)</f>
        <v>532.04124999999999</v>
      </c>
      <c r="I652" s="1"/>
    </row>
    <row r="653" spans="1:9" x14ac:dyDescent="0.25">
      <c r="A653">
        <v>846</v>
      </c>
      <c r="B653" t="s">
        <v>631</v>
      </c>
      <c r="C653" t="str">
        <f t="shared" si="10"/>
        <v>22,5</v>
      </c>
      <c r="D653" s="2">
        <v>166.7</v>
      </c>
      <c r="E653" s="1">
        <v>1345.05</v>
      </c>
      <c r="F653" s="1">
        <f>Tabela1[[#This Row],[PR.CUSTO+FRETE]]-Tabela1[[#This Row],[FRETE]]</f>
        <v>1156.8456999999999</v>
      </c>
      <c r="G653" s="1">
        <v>2301.25</v>
      </c>
      <c r="H653" s="1">
        <f>Tabela1[[#This Row],[PESO UND]]/1000*(1129)</f>
        <v>188.20429999999999</v>
      </c>
      <c r="I653" s="1"/>
    </row>
    <row r="654" spans="1:9" x14ac:dyDescent="0.25">
      <c r="A654">
        <v>845</v>
      </c>
      <c r="B654" t="s">
        <v>632</v>
      </c>
      <c r="C654" t="str">
        <f t="shared" si="10"/>
        <v>22,5</v>
      </c>
      <c r="D654" s="2">
        <v>989</v>
      </c>
      <c r="E654" s="1">
        <v>5436.81</v>
      </c>
      <c r="F654" s="1">
        <f>Tabela1[[#This Row],[PR.CUSTO+FRETE]]-Tabela1[[#This Row],[FRETE]]</f>
        <v>4320.2290000000003</v>
      </c>
      <c r="G654" s="1">
        <v>9168.34</v>
      </c>
      <c r="H654" s="1">
        <f>Tabela1[[#This Row],[PESO UND]]/1000*(1129)</f>
        <v>1116.5809999999999</v>
      </c>
      <c r="I654" s="1"/>
    </row>
    <row r="655" spans="1:9" x14ac:dyDescent="0.25">
      <c r="A655">
        <v>841</v>
      </c>
      <c r="B655" t="s">
        <v>633</v>
      </c>
      <c r="C655" t="str">
        <f t="shared" si="10"/>
        <v>22,5</v>
      </c>
      <c r="D655" s="2">
        <v>3085.89</v>
      </c>
      <c r="E655" s="1">
        <v>16837.25</v>
      </c>
      <c r="F655" s="1">
        <f>Tabela1[[#This Row],[PR.CUSTO+FRETE]]-Tabela1[[#This Row],[FRETE]]</f>
        <v>13353.280189999999</v>
      </c>
      <c r="G655" s="1">
        <v>27687.78</v>
      </c>
      <c r="H655" s="1">
        <f>Tabela1[[#This Row],[PESO UND]]/1000*(1129)</f>
        <v>3483.9698100000001</v>
      </c>
      <c r="I655" s="1"/>
    </row>
    <row r="656" spans="1:9" x14ac:dyDescent="0.25">
      <c r="A656">
        <v>1080</v>
      </c>
      <c r="B656" t="s">
        <v>634</v>
      </c>
      <c r="C656" t="str">
        <f t="shared" si="10"/>
        <v>22,5</v>
      </c>
      <c r="D656" s="2">
        <v>33.75</v>
      </c>
      <c r="E656" s="1">
        <v>1473.33</v>
      </c>
      <c r="F656" s="1">
        <f>Tabela1[[#This Row],[PR.CUSTO+FRETE]]-Tabela1[[#This Row],[FRETE]]</f>
        <v>1435.2262499999999</v>
      </c>
      <c r="G656" s="1">
        <v>2265.67</v>
      </c>
      <c r="H656" s="1">
        <f>Tabela1[[#This Row],[PESO UND]]/1000*(1129)</f>
        <v>38.103750000000005</v>
      </c>
      <c r="I656" s="1"/>
    </row>
    <row r="657" spans="1:9" x14ac:dyDescent="0.25">
      <c r="A657">
        <v>843</v>
      </c>
      <c r="B657" t="s">
        <v>635</v>
      </c>
      <c r="C657" t="str">
        <f t="shared" si="10"/>
        <v>22,5</v>
      </c>
      <c r="D657" s="2">
        <v>243.7</v>
      </c>
      <c r="E657" s="1">
        <v>5218.3</v>
      </c>
      <c r="F657" s="1">
        <f>Tabela1[[#This Row],[PR.CUSTO+FRETE]]-Tabela1[[#This Row],[FRETE]]</f>
        <v>4943.1626999999999</v>
      </c>
      <c r="G657" s="1">
        <v>7748.76</v>
      </c>
      <c r="H657" s="1">
        <f>Tabela1[[#This Row],[PESO UND]]/1000*(1129)</f>
        <v>275.13729999999998</v>
      </c>
      <c r="I657" s="1"/>
    </row>
    <row r="658" spans="1:9" x14ac:dyDescent="0.25">
      <c r="A658">
        <v>842</v>
      </c>
      <c r="B658" t="s">
        <v>636</v>
      </c>
      <c r="C658" t="str">
        <f t="shared" si="10"/>
        <v>22,5</v>
      </c>
      <c r="D658" s="2">
        <v>243.7</v>
      </c>
      <c r="E658" s="1">
        <v>5046</v>
      </c>
      <c r="F658" s="1">
        <f>Tabela1[[#This Row],[PR.CUSTO+FRETE]]-Tabela1[[#This Row],[FRETE]]</f>
        <v>4770.8626999999997</v>
      </c>
      <c r="G658" s="1">
        <v>7476.81</v>
      </c>
      <c r="H658" s="1">
        <f>Tabela1[[#This Row],[PESO UND]]/1000*(1129)</f>
        <v>275.13729999999998</v>
      </c>
      <c r="I658" s="1"/>
    </row>
    <row r="659" spans="1:9" x14ac:dyDescent="0.25">
      <c r="A659">
        <v>945</v>
      </c>
      <c r="B659" t="s">
        <v>637</v>
      </c>
      <c r="C659" t="str">
        <f t="shared" si="10"/>
        <v>24M²</v>
      </c>
      <c r="D659" s="2">
        <v>510.85</v>
      </c>
      <c r="E659" s="1">
        <v>3072.01</v>
      </c>
      <c r="F659" s="1">
        <f>Tabela1[[#This Row],[PR.CUSTO+FRETE]]-Tabela1[[#This Row],[FRETE]]</f>
        <v>2495.2603500000005</v>
      </c>
      <c r="G659" s="1">
        <v>5362.57</v>
      </c>
      <c r="H659" s="1">
        <f>Tabela1[[#This Row],[PESO UND]]/1000*(1129)</f>
        <v>576.74964999999997</v>
      </c>
      <c r="I659" s="1"/>
    </row>
    <row r="660" spans="1:9" x14ac:dyDescent="0.25">
      <c r="A660">
        <v>944</v>
      </c>
      <c r="B660" t="s">
        <v>638</v>
      </c>
      <c r="C660" t="str">
        <f t="shared" si="10"/>
        <v>24M²</v>
      </c>
      <c r="D660" s="2">
        <v>507</v>
      </c>
      <c r="E660" s="1">
        <v>2837.95</v>
      </c>
      <c r="F660" s="1">
        <f>Tabela1[[#This Row],[PR.CUSTO+FRETE]]-Tabela1[[#This Row],[FRETE]]</f>
        <v>2265.5469999999996</v>
      </c>
      <c r="G660" s="1">
        <v>4779.24</v>
      </c>
      <c r="H660" s="1">
        <f>Tabela1[[#This Row],[PESO UND]]/1000*(1129)</f>
        <v>572.40300000000002</v>
      </c>
      <c r="I660" s="1"/>
    </row>
    <row r="661" spans="1:9" x14ac:dyDescent="0.25">
      <c r="A661">
        <v>940</v>
      </c>
      <c r="B661" t="s">
        <v>639</v>
      </c>
      <c r="C661" t="str">
        <f t="shared" si="10"/>
        <v>24M²</v>
      </c>
      <c r="D661" s="2">
        <v>2287.9499999999998</v>
      </c>
      <c r="E661" s="1">
        <v>13647.39</v>
      </c>
      <c r="F661" s="1">
        <f>Tabela1[[#This Row],[PR.CUSTO+FRETE]]-Tabela1[[#This Row],[FRETE]]</f>
        <v>11064.294449999999</v>
      </c>
      <c r="G661" s="1">
        <v>22201.39</v>
      </c>
      <c r="H661" s="1">
        <f>Tabela1[[#This Row],[PESO UND]]/1000*(1129)</f>
        <v>2583.09555</v>
      </c>
      <c r="I661" s="1"/>
    </row>
    <row r="662" spans="1:9" x14ac:dyDescent="0.25">
      <c r="A662">
        <v>943</v>
      </c>
      <c r="B662" t="s">
        <v>640</v>
      </c>
      <c r="C662" t="str">
        <f t="shared" si="10"/>
        <v>24M²</v>
      </c>
      <c r="D662" s="2">
        <v>26.25</v>
      </c>
      <c r="E662" s="1">
        <v>1145.93</v>
      </c>
      <c r="F662" s="1">
        <f>Tabela1[[#This Row],[PR.CUSTO+FRETE]]-Tabela1[[#This Row],[FRETE]]</f>
        <v>1116.29375</v>
      </c>
      <c r="G662" s="1">
        <v>1762.19</v>
      </c>
      <c r="H662" s="1">
        <f>Tabela1[[#This Row],[PESO UND]]/1000*(1129)</f>
        <v>29.63625</v>
      </c>
      <c r="I662" s="1"/>
    </row>
    <row r="663" spans="1:9" x14ac:dyDescent="0.25">
      <c r="A663">
        <v>942</v>
      </c>
      <c r="B663" t="s">
        <v>641</v>
      </c>
      <c r="C663" t="str">
        <f t="shared" si="10"/>
        <v>24M²</v>
      </c>
      <c r="D663" s="2">
        <v>256</v>
      </c>
      <c r="E663" s="1">
        <v>5361.34</v>
      </c>
      <c r="F663" s="1">
        <f>Tabela1[[#This Row],[PR.CUSTO+FRETE]]-Tabela1[[#This Row],[FRETE]]</f>
        <v>5072.3159999999998</v>
      </c>
      <c r="G663" s="1">
        <v>7959.78</v>
      </c>
      <c r="H663" s="1">
        <f>Tabela1[[#This Row],[PESO UND]]/1000*(1129)</f>
        <v>289.024</v>
      </c>
      <c r="I663" s="1"/>
    </row>
    <row r="664" spans="1:9" x14ac:dyDescent="0.25">
      <c r="A664">
        <v>941</v>
      </c>
      <c r="B664" t="s">
        <v>642</v>
      </c>
      <c r="C664" t="str">
        <f t="shared" si="10"/>
        <v>24M²</v>
      </c>
      <c r="D664" s="2">
        <v>256</v>
      </c>
      <c r="E664" s="1">
        <v>5180.8</v>
      </c>
      <c r="F664" s="1">
        <f>Tabela1[[#This Row],[PR.CUSTO+FRETE]]-Tabela1[[#This Row],[FRETE]]</f>
        <v>4891.7759999999998</v>
      </c>
      <c r="G664" s="1">
        <v>7674.78</v>
      </c>
      <c r="H664" s="1">
        <f>Tabela1[[#This Row],[PESO UND]]/1000*(1129)</f>
        <v>289.024</v>
      </c>
      <c r="I664" s="1"/>
    </row>
    <row r="665" spans="1:9" x14ac:dyDescent="0.25">
      <c r="A665">
        <v>616</v>
      </c>
      <c r="B665" t="s">
        <v>643</v>
      </c>
      <c r="C665" t="str">
        <f t="shared" si="10"/>
        <v>111M</v>
      </c>
      <c r="D665" s="2">
        <v>6387.64</v>
      </c>
      <c r="E665" s="1">
        <v>33893.01</v>
      </c>
      <c r="F665" s="1">
        <f>Tabela1[[#This Row],[PR.CUSTO+FRETE]]-Tabela1[[#This Row],[FRETE]]</f>
        <v>26681.364440000001</v>
      </c>
      <c r="G665" s="1">
        <v>57829.38</v>
      </c>
      <c r="H665" s="1">
        <f>Tabela1[[#This Row],[PESO UND]]/1000*(1129)</f>
        <v>7211.6455599999999</v>
      </c>
      <c r="I665" s="1"/>
    </row>
    <row r="666" spans="1:9" x14ac:dyDescent="0.25">
      <c r="A666">
        <v>621</v>
      </c>
      <c r="B666" t="s">
        <v>644</v>
      </c>
      <c r="C666" t="str">
        <f t="shared" si="10"/>
        <v>111M</v>
      </c>
      <c r="D666" s="2">
        <v>2302.15</v>
      </c>
      <c r="E666" s="1">
        <v>9670.59</v>
      </c>
      <c r="F666" s="1">
        <f>Tabela1[[#This Row],[PR.CUSTO+FRETE]]-Tabela1[[#This Row],[FRETE]]</f>
        <v>7071.4626499999995</v>
      </c>
      <c r="G666" s="1">
        <v>15626.04</v>
      </c>
      <c r="H666" s="1">
        <f>Tabela1[[#This Row],[PESO UND]]/1000*(1129)</f>
        <v>2599.1273500000002</v>
      </c>
      <c r="I666" s="1"/>
    </row>
    <row r="667" spans="1:9" x14ac:dyDescent="0.25">
      <c r="A667">
        <v>620</v>
      </c>
      <c r="B667" t="s">
        <v>645</v>
      </c>
      <c r="C667" t="str">
        <f t="shared" si="10"/>
        <v>111M</v>
      </c>
      <c r="D667" s="2">
        <v>314</v>
      </c>
      <c r="E667" s="1">
        <v>1774.15</v>
      </c>
      <c r="F667" s="1">
        <f>Tabela1[[#This Row],[PR.CUSTO+FRETE]]-Tabela1[[#This Row],[FRETE]]</f>
        <v>1419.644</v>
      </c>
      <c r="G667" s="1">
        <v>2985.67</v>
      </c>
      <c r="H667" s="1">
        <f>Tabela1[[#This Row],[PESO UND]]/1000*(1129)</f>
        <v>354.50600000000003</v>
      </c>
      <c r="I667" s="1"/>
    </row>
    <row r="668" spans="1:9" x14ac:dyDescent="0.25">
      <c r="A668">
        <v>619</v>
      </c>
      <c r="B668" t="s">
        <v>646</v>
      </c>
      <c r="C668" t="str">
        <f t="shared" si="10"/>
        <v>111M</v>
      </c>
      <c r="D668" s="2">
        <v>56.25</v>
      </c>
      <c r="E668" s="1">
        <v>2455.56</v>
      </c>
      <c r="F668" s="1">
        <f>Tabela1[[#This Row],[PR.CUSTO+FRETE]]-Tabela1[[#This Row],[FRETE]]</f>
        <v>2392.05375</v>
      </c>
      <c r="G668" s="1">
        <v>3776.12</v>
      </c>
      <c r="H668" s="1">
        <f>Tabela1[[#This Row],[PESO UND]]/1000*(1129)</f>
        <v>63.506250000000001</v>
      </c>
      <c r="I668" s="1"/>
    </row>
    <row r="669" spans="1:9" x14ac:dyDescent="0.25">
      <c r="A669">
        <v>618</v>
      </c>
      <c r="B669" t="s">
        <v>647</v>
      </c>
      <c r="C669" t="str">
        <f t="shared" si="10"/>
        <v>111M</v>
      </c>
      <c r="D669" s="2">
        <v>283.39999999999998</v>
      </c>
      <c r="E669" s="1">
        <v>6043.45</v>
      </c>
      <c r="F669" s="1">
        <f>Tabela1[[#This Row],[PR.CUSTO+FRETE]]-Tabela1[[#This Row],[FRETE]]</f>
        <v>5723.4913999999999</v>
      </c>
      <c r="G669" s="1">
        <v>8970.76</v>
      </c>
      <c r="H669" s="1">
        <f>Tabela1[[#This Row],[PESO UND]]/1000*(1129)</f>
        <v>319.95859999999999</v>
      </c>
      <c r="I669" s="1"/>
    </row>
    <row r="670" spans="1:9" x14ac:dyDescent="0.25">
      <c r="A670">
        <v>617</v>
      </c>
      <c r="B670" t="s">
        <v>648</v>
      </c>
      <c r="C670" t="str">
        <f t="shared" si="10"/>
        <v>111M</v>
      </c>
      <c r="D670" s="2">
        <v>283.39999999999998</v>
      </c>
      <c r="E670" s="1">
        <v>5843.47</v>
      </c>
      <c r="F670" s="1">
        <f>Tabela1[[#This Row],[PR.CUSTO+FRETE]]-Tabela1[[#This Row],[FRETE]]</f>
        <v>5523.5114000000003</v>
      </c>
      <c r="G670" s="1">
        <v>8655.08</v>
      </c>
      <c r="H670" s="1">
        <f>Tabela1[[#This Row],[PESO UND]]/1000*(1129)</f>
        <v>319.95859999999999</v>
      </c>
      <c r="I670" s="1"/>
    </row>
    <row r="671" spans="1:9" x14ac:dyDescent="0.25">
      <c r="A671">
        <v>136</v>
      </c>
      <c r="B671" t="s">
        <v>953</v>
      </c>
      <c r="C671" t="str">
        <f t="shared" si="10"/>
        <v>63,1</v>
      </c>
      <c r="D671" s="2">
        <v>6390.52</v>
      </c>
      <c r="E671" s="1">
        <v>38880.339999999997</v>
      </c>
      <c r="F671" s="1">
        <f>Tabela1[[#This Row],[PR.CUSTO+FRETE]]-Tabela1[[#This Row],[FRETE]]</f>
        <v>31665.442919999994</v>
      </c>
      <c r="G671" s="1">
        <v>66465.38</v>
      </c>
      <c r="H671" s="1">
        <f>Tabela1[[#This Row],[PESO UND]]/1000*(1129)</f>
        <v>7214.8970800000006</v>
      </c>
      <c r="I671" s="1"/>
    </row>
    <row r="672" spans="1:9" x14ac:dyDescent="0.25">
      <c r="A672">
        <v>1019</v>
      </c>
      <c r="B672" t="s">
        <v>649</v>
      </c>
      <c r="C672" t="str">
        <f t="shared" si="10"/>
        <v/>
      </c>
      <c r="D672" s="2">
        <v>63.75</v>
      </c>
      <c r="E672" s="1">
        <v>2782.96</v>
      </c>
      <c r="F672" s="1">
        <f>Tabela1[[#This Row],[PR.CUSTO+FRETE]]-Tabela1[[#This Row],[FRETE]]</f>
        <v>2710.9862499999999</v>
      </c>
      <c r="G672" s="1">
        <v>4279.6000000000004</v>
      </c>
      <c r="H672" s="1">
        <f>Tabela1[[#This Row],[PESO UND]]/1000*(1129)</f>
        <v>71.973749999999995</v>
      </c>
      <c r="I672" s="1"/>
    </row>
    <row r="673" spans="1:9" x14ac:dyDescent="0.25">
      <c r="A673">
        <v>1018</v>
      </c>
      <c r="B673" t="s">
        <v>650</v>
      </c>
      <c r="C673" t="str">
        <f t="shared" si="10"/>
        <v/>
      </c>
      <c r="D673" s="2">
        <v>521.29999999999995</v>
      </c>
      <c r="E673" s="1">
        <v>10995.14</v>
      </c>
      <c r="F673" s="1">
        <f>Tabela1[[#This Row],[PR.CUSTO+FRETE]]-Tabela1[[#This Row],[FRETE]]</f>
        <v>10406.5923</v>
      </c>
      <c r="G673" s="1">
        <v>16320.61</v>
      </c>
      <c r="H673" s="1">
        <f>Tabela1[[#This Row],[PESO UND]]/1000*(1129)</f>
        <v>588.54769999999996</v>
      </c>
      <c r="I673" s="1"/>
    </row>
    <row r="674" spans="1:9" x14ac:dyDescent="0.25">
      <c r="A674">
        <v>1017</v>
      </c>
      <c r="B674" t="s">
        <v>651</v>
      </c>
      <c r="C674" t="str">
        <f t="shared" si="10"/>
        <v/>
      </c>
      <c r="D674" s="2">
        <v>521.29999999999995</v>
      </c>
      <c r="E674" s="1">
        <v>10628.09</v>
      </c>
      <c r="F674" s="1">
        <f>Tabela1[[#This Row],[PR.CUSTO+FRETE]]-Tabela1[[#This Row],[FRETE]]</f>
        <v>10039.542300000001</v>
      </c>
      <c r="G674" s="1">
        <v>15741.18</v>
      </c>
      <c r="H674" s="1">
        <f>Tabela1[[#This Row],[PESO UND]]/1000*(1129)</f>
        <v>588.54769999999996</v>
      </c>
      <c r="I674" s="1"/>
    </row>
    <row r="675" spans="1:9" x14ac:dyDescent="0.25">
      <c r="A675">
        <v>962</v>
      </c>
      <c r="B675" t="s">
        <v>652</v>
      </c>
      <c r="C675" t="str">
        <f t="shared" si="10"/>
        <v>38,9</v>
      </c>
      <c r="D675" s="2">
        <v>4220.3</v>
      </c>
      <c r="E675" s="1">
        <v>22616.18</v>
      </c>
      <c r="F675" s="1">
        <f>Tabela1[[#This Row],[PR.CUSTO+FRETE]]-Tabela1[[#This Row],[FRETE]]</f>
        <v>17851.461299999999</v>
      </c>
      <c r="G675" s="1">
        <v>36887.660000000003</v>
      </c>
      <c r="H675" s="1">
        <f>Tabela1[[#This Row],[PESO UND]]/1000*(1129)</f>
        <v>4764.7187000000004</v>
      </c>
      <c r="I675" s="1"/>
    </row>
    <row r="676" spans="1:9" x14ac:dyDescent="0.25">
      <c r="A676">
        <v>1043</v>
      </c>
      <c r="B676" t="s">
        <v>653</v>
      </c>
      <c r="C676" t="str">
        <f t="shared" si="10"/>
        <v>38,9</v>
      </c>
      <c r="D676" s="2">
        <v>342.9</v>
      </c>
      <c r="E676" s="1">
        <v>1859.1</v>
      </c>
      <c r="F676" s="1">
        <f>Tabela1[[#This Row],[PR.CUSTO+FRETE]]-Tabela1[[#This Row],[FRETE]]</f>
        <v>1471.9658999999999</v>
      </c>
      <c r="G676" s="1">
        <v>3177.12</v>
      </c>
      <c r="H676" s="1">
        <f>Tabela1[[#This Row],[PESO UND]]/1000*(1129)</f>
        <v>387.13409999999999</v>
      </c>
      <c r="I676" s="1"/>
    </row>
    <row r="677" spans="1:9" x14ac:dyDescent="0.25">
      <c r="A677">
        <v>966</v>
      </c>
      <c r="B677" t="s">
        <v>654</v>
      </c>
      <c r="C677" t="str">
        <f t="shared" si="10"/>
        <v>38,9</v>
      </c>
      <c r="D677" s="2">
        <v>282.3</v>
      </c>
      <c r="E677" s="1">
        <v>2174.8000000000002</v>
      </c>
      <c r="F677" s="1">
        <f>Tabela1[[#This Row],[PR.CUSTO+FRETE]]-Tabela1[[#This Row],[FRETE]]</f>
        <v>1856.0833000000002</v>
      </c>
      <c r="G677" s="1">
        <v>3738.6</v>
      </c>
      <c r="H677" s="1">
        <f>Tabela1[[#This Row],[PESO UND]]/1000*(1129)</f>
        <v>318.7167</v>
      </c>
      <c r="I677" s="1"/>
    </row>
    <row r="678" spans="1:9" x14ac:dyDescent="0.25">
      <c r="A678">
        <v>965</v>
      </c>
      <c r="B678" t="s">
        <v>655</v>
      </c>
      <c r="C678" t="str">
        <f t="shared" si="10"/>
        <v>38,9</v>
      </c>
      <c r="D678" s="2">
        <v>1163</v>
      </c>
      <c r="E678" s="1">
        <v>6290.97</v>
      </c>
      <c r="F678" s="1">
        <f>Tabela1[[#This Row],[PR.CUSTO+FRETE]]-Tabela1[[#This Row],[FRETE]]</f>
        <v>4977.9430000000002</v>
      </c>
      <c r="G678" s="1">
        <v>10621.9</v>
      </c>
      <c r="H678" s="1">
        <f>Tabela1[[#This Row],[PESO UND]]/1000*(1129)</f>
        <v>1313.027</v>
      </c>
      <c r="I678" s="1"/>
    </row>
    <row r="679" spans="1:9" x14ac:dyDescent="0.25">
      <c r="A679">
        <v>964</v>
      </c>
      <c r="B679" t="s">
        <v>656</v>
      </c>
      <c r="C679" t="str">
        <f t="shared" si="10"/>
        <v>38,9</v>
      </c>
      <c r="D679" s="2">
        <v>37.5</v>
      </c>
      <c r="E679" s="1">
        <v>1637.04</v>
      </c>
      <c r="F679" s="1">
        <f>Tabela1[[#This Row],[PR.CUSTO+FRETE]]-Tabela1[[#This Row],[FRETE]]</f>
        <v>1594.7024999999999</v>
      </c>
      <c r="G679" s="1">
        <v>2517.41</v>
      </c>
      <c r="H679" s="1">
        <f>Tabela1[[#This Row],[PESO UND]]/1000*(1129)</f>
        <v>42.337499999999999</v>
      </c>
      <c r="I679" s="1"/>
    </row>
    <row r="680" spans="1:9" x14ac:dyDescent="0.25">
      <c r="A680">
        <v>963</v>
      </c>
      <c r="B680" t="s">
        <v>657</v>
      </c>
      <c r="C680" t="str">
        <f t="shared" si="10"/>
        <v>38,9</v>
      </c>
      <c r="D680" s="2">
        <v>323</v>
      </c>
      <c r="E680" s="1">
        <v>6662.95</v>
      </c>
      <c r="F680" s="1">
        <f>Tabela1[[#This Row],[PR.CUSTO+FRETE]]-Tabela1[[#This Row],[FRETE]]</f>
        <v>6298.2829999999994</v>
      </c>
      <c r="G680" s="1">
        <v>9890.58</v>
      </c>
      <c r="H680" s="1">
        <f>Tabela1[[#This Row],[PESO UND]]/1000*(1129)</f>
        <v>364.66700000000003</v>
      </c>
      <c r="I680" s="1"/>
    </row>
    <row r="681" spans="1:9" x14ac:dyDescent="0.25">
      <c r="A681">
        <v>961</v>
      </c>
      <c r="B681" t="s">
        <v>658</v>
      </c>
      <c r="C681" t="str">
        <f t="shared" si="10"/>
        <v>38,9</v>
      </c>
      <c r="D681" s="2">
        <v>323</v>
      </c>
      <c r="E681" s="1">
        <v>6434.97</v>
      </c>
      <c r="F681" s="1">
        <f>Tabela1[[#This Row],[PR.CUSTO+FRETE]]-Tabela1[[#This Row],[FRETE]]</f>
        <v>6070.3029999999999</v>
      </c>
      <c r="G681" s="1">
        <v>9530.7099999999991</v>
      </c>
      <c r="H681" s="1">
        <f>Tabela1[[#This Row],[PESO UND]]/1000*(1129)</f>
        <v>364.66700000000003</v>
      </c>
      <c r="I681" s="1"/>
    </row>
    <row r="682" spans="1:9" x14ac:dyDescent="0.25">
      <c r="A682">
        <v>1088</v>
      </c>
      <c r="B682" t="s">
        <v>659</v>
      </c>
      <c r="C682" t="str">
        <f t="shared" si="10"/>
        <v>19,2</v>
      </c>
      <c r="D682" s="2">
        <v>2467.5100000000002</v>
      </c>
      <c r="E682" s="1">
        <v>13527.07</v>
      </c>
      <c r="F682" s="1">
        <f>Tabela1[[#This Row],[PR.CUSTO+FRETE]]-Tabela1[[#This Row],[FRETE]]</f>
        <v>10741.251209999999</v>
      </c>
      <c r="G682" s="1">
        <v>22144.3</v>
      </c>
      <c r="H682" s="1">
        <f>Tabela1[[#This Row],[PESO UND]]/1000*(1129)</f>
        <v>2785.8187900000003</v>
      </c>
      <c r="I682" s="1"/>
    </row>
    <row r="683" spans="1:9" x14ac:dyDescent="0.25">
      <c r="A683">
        <v>1093</v>
      </c>
      <c r="B683" t="s">
        <v>660</v>
      </c>
      <c r="C683" t="str">
        <f t="shared" si="10"/>
        <v>19,2</v>
      </c>
      <c r="D683" s="2">
        <v>155.75</v>
      </c>
      <c r="E683" s="1">
        <v>1209.82</v>
      </c>
      <c r="F683" s="1">
        <f>Tabela1[[#This Row],[PR.CUSTO+FRETE]]-Tabela1[[#This Row],[FRETE]]</f>
        <v>1033.9782499999999</v>
      </c>
      <c r="G683" s="1">
        <v>2076.4499999999998</v>
      </c>
      <c r="H683" s="1">
        <f>Tabela1[[#This Row],[PESO UND]]/1000*(1129)</f>
        <v>175.84174999999999</v>
      </c>
      <c r="I683" s="1"/>
    </row>
    <row r="684" spans="1:9" x14ac:dyDescent="0.25">
      <c r="A684">
        <v>1092</v>
      </c>
      <c r="B684" t="s">
        <v>661</v>
      </c>
      <c r="C684" t="str">
        <f t="shared" si="10"/>
        <v>19,2</v>
      </c>
      <c r="D684" s="2">
        <v>219</v>
      </c>
      <c r="E684" s="1">
        <v>1424.15</v>
      </c>
      <c r="F684" s="1">
        <f>Tabela1[[#This Row],[PR.CUSTO+FRETE]]-Tabela1[[#This Row],[FRETE]]</f>
        <v>1176.8990000000001</v>
      </c>
      <c r="G684" s="1">
        <v>2373.34</v>
      </c>
      <c r="H684" s="1">
        <f>Tabela1[[#This Row],[PESO UND]]/1000*(1129)</f>
        <v>247.251</v>
      </c>
      <c r="I684" s="1"/>
    </row>
    <row r="685" spans="1:9" x14ac:dyDescent="0.25">
      <c r="A685">
        <v>1091</v>
      </c>
      <c r="B685" t="s">
        <v>662</v>
      </c>
      <c r="C685" t="str">
        <f t="shared" si="10"/>
        <v>19,2</v>
      </c>
      <c r="D685" s="2">
        <v>33.75</v>
      </c>
      <c r="E685" s="1">
        <v>1473.33</v>
      </c>
      <c r="F685" s="1">
        <f>Tabela1[[#This Row],[PR.CUSTO+FRETE]]-Tabela1[[#This Row],[FRETE]]</f>
        <v>1435.2262499999999</v>
      </c>
      <c r="G685" s="1">
        <v>2265.67</v>
      </c>
      <c r="H685" s="1">
        <f>Tabela1[[#This Row],[PESO UND]]/1000*(1129)</f>
        <v>38.103750000000005</v>
      </c>
      <c r="I685" s="1"/>
    </row>
    <row r="686" spans="1:9" x14ac:dyDescent="0.25">
      <c r="A686">
        <v>1090</v>
      </c>
      <c r="B686" t="s">
        <v>663</v>
      </c>
      <c r="C686" t="str">
        <f t="shared" si="10"/>
        <v>19,2</v>
      </c>
      <c r="D686" s="2">
        <v>237.7</v>
      </c>
      <c r="E686" s="1">
        <v>4892.4799999999996</v>
      </c>
      <c r="F686" s="1">
        <f>Tabela1[[#This Row],[PR.CUSTO+FRETE]]-Tabela1[[#This Row],[FRETE]]</f>
        <v>4624.1166999999996</v>
      </c>
      <c r="G686" s="1">
        <v>7259.41</v>
      </c>
      <c r="H686" s="1">
        <f>Tabela1[[#This Row],[PESO UND]]/1000*(1129)</f>
        <v>268.36329999999998</v>
      </c>
      <c r="I686" s="1"/>
    </row>
    <row r="687" spans="1:9" x14ac:dyDescent="0.25">
      <c r="A687">
        <v>1089</v>
      </c>
      <c r="B687" t="s">
        <v>664</v>
      </c>
      <c r="C687" t="str">
        <f t="shared" si="10"/>
        <v>19,2</v>
      </c>
      <c r="D687" s="2">
        <v>237.7</v>
      </c>
      <c r="E687" s="1">
        <v>4724.78</v>
      </c>
      <c r="F687" s="1">
        <f>Tabela1[[#This Row],[PR.CUSTO+FRETE]]-Tabela1[[#This Row],[FRETE]]</f>
        <v>4456.4166999999998</v>
      </c>
      <c r="G687" s="1">
        <v>6994.7</v>
      </c>
      <c r="H687" s="1">
        <f>Tabela1[[#This Row],[PESO UND]]/1000*(1129)</f>
        <v>268.36329999999998</v>
      </c>
      <c r="I687" s="1"/>
    </row>
    <row r="688" spans="1:9" x14ac:dyDescent="0.25">
      <c r="A688">
        <v>1099</v>
      </c>
      <c r="B688" t="s">
        <v>665</v>
      </c>
      <c r="C688" t="str">
        <f t="shared" si="10"/>
        <v>38,5</v>
      </c>
      <c r="D688" s="2">
        <v>3591.74</v>
      </c>
      <c r="E688" s="1">
        <v>20652.68</v>
      </c>
      <c r="F688" s="1">
        <f>Tabela1[[#This Row],[PR.CUSTO+FRETE]]-Tabela1[[#This Row],[FRETE]]</f>
        <v>16597.60554</v>
      </c>
      <c r="G688" s="1">
        <v>34096.47</v>
      </c>
      <c r="H688" s="1">
        <f>Tabela1[[#This Row],[PESO UND]]/1000*(1129)</f>
        <v>4055.0744599999998</v>
      </c>
      <c r="I688" s="1"/>
    </row>
    <row r="689" spans="1:9" x14ac:dyDescent="0.25">
      <c r="A689">
        <v>1104</v>
      </c>
      <c r="B689" t="s">
        <v>666</v>
      </c>
      <c r="C689" t="str">
        <f t="shared" si="10"/>
        <v>38,5</v>
      </c>
      <c r="D689" s="2">
        <v>603</v>
      </c>
      <c r="E689" s="1">
        <v>3309.21</v>
      </c>
      <c r="F689" s="1">
        <f>Tabela1[[#This Row],[PR.CUSTO+FRETE]]-Tabela1[[#This Row],[FRETE]]</f>
        <v>2628.4229999999998</v>
      </c>
      <c r="G689" s="1">
        <v>5581.2</v>
      </c>
      <c r="H689" s="1">
        <f>Tabela1[[#This Row],[PESO UND]]/1000*(1129)</f>
        <v>680.78700000000003</v>
      </c>
      <c r="I689" s="1"/>
    </row>
    <row r="690" spans="1:9" x14ac:dyDescent="0.25">
      <c r="A690">
        <v>1102</v>
      </c>
      <c r="B690" t="s">
        <v>667</v>
      </c>
      <c r="C690" t="str">
        <f t="shared" si="10"/>
        <v>38,5</v>
      </c>
      <c r="D690" s="2">
        <v>32.4</v>
      </c>
      <c r="E690" s="1">
        <v>1563.79</v>
      </c>
      <c r="F690" s="1">
        <f>Tabela1[[#This Row],[PR.CUSTO+FRETE]]-Tabela1[[#This Row],[FRETE]]</f>
        <v>1527.2103999999999</v>
      </c>
      <c r="G690" s="1">
        <v>2410.87</v>
      </c>
      <c r="H690" s="1">
        <f>Tabela1[[#This Row],[PESO UND]]/1000*(1129)</f>
        <v>36.579599999999999</v>
      </c>
      <c r="I690" s="1"/>
    </row>
    <row r="691" spans="1:9" x14ac:dyDescent="0.25">
      <c r="A691">
        <v>1101</v>
      </c>
      <c r="B691" t="s">
        <v>668</v>
      </c>
      <c r="C691" t="str">
        <f t="shared" si="10"/>
        <v>38,5</v>
      </c>
      <c r="D691" s="2">
        <v>444.9</v>
      </c>
      <c r="E691" s="1">
        <v>9263.02</v>
      </c>
      <c r="F691" s="1">
        <f>Tabela1[[#This Row],[PR.CUSTO+FRETE]]-Tabela1[[#This Row],[FRETE]]</f>
        <v>8760.7278999999999</v>
      </c>
      <c r="G691" s="1">
        <v>13744.76</v>
      </c>
      <c r="H691" s="1">
        <f>Tabela1[[#This Row],[PESO UND]]/1000*(1129)</f>
        <v>502.29209999999995</v>
      </c>
      <c r="I691" s="1"/>
    </row>
    <row r="692" spans="1:9" x14ac:dyDescent="0.25">
      <c r="A692">
        <v>1100</v>
      </c>
      <c r="B692" t="s">
        <v>669</v>
      </c>
      <c r="C692" t="str">
        <f t="shared" si="10"/>
        <v>38,5</v>
      </c>
      <c r="D692" s="2">
        <v>444.9</v>
      </c>
      <c r="E692" s="1">
        <v>8949.0499999999993</v>
      </c>
      <c r="F692" s="1">
        <f>Tabela1[[#This Row],[PR.CUSTO+FRETE]]-Tabela1[[#This Row],[FRETE]]</f>
        <v>8446.7578999999987</v>
      </c>
      <c r="G692" s="1">
        <v>13249.15</v>
      </c>
      <c r="H692" s="1">
        <f>Tabela1[[#This Row],[PESO UND]]/1000*(1129)</f>
        <v>502.29209999999995</v>
      </c>
      <c r="I692" s="1"/>
    </row>
    <row r="693" spans="1:9" x14ac:dyDescent="0.25">
      <c r="A693">
        <v>1126</v>
      </c>
      <c r="B693" t="s">
        <v>670</v>
      </c>
      <c r="C693" t="str">
        <f t="shared" si="10"/>
        <v>32,5</v>
      </c>
      <c r="D693" s="2">
        <v>1808.79</v>
      </c>
      <c r="E693" s="1">
        <v>10985.63</v>
      </c>
      <c r="F693" s="1">
        <f>Tabela1[[#This Row],[PR.CUSTO+FRETE]]-Tabela1[[#This Row],[FRETE]]</f>
        <v>8943.5060899999989</v>
      </c>
      <c r="G693" s="1">
        <v>17803.63</v>
      </c>
      <c r="H693" s="1">
        <f>Tabela1[[#This Row],[PESO UND]]/1000*(1129)</f>
        <v>2042.1239099999998</v>
      </c>
      <c r="I693" s="1"/>
    </row>
    <row r="694" spans="1:9" x14ac:dyDescent="0.25">
      <c r="A694">
        <v>1130</v>
      </c>
      <c r="B694" t="s">
        <v>671</v>
      </c>
      <c r="C694" t="str">
        <f t="shared" si="10"/>
        <v>32,5</v>
      </c>
      <c r="D694" s="2">
        <v>302</v>
      </c>
      <c r="E694" s="1">
        <v>1715.24</v>
      </c>
      <c r="F694" s="1">
        <f>Tabela1[[#This Row],[PR.CUSTO+FRETE]]-Tabela1[[#This Row],[FRETE]]</f>
        <v>1374.2820000000002</v>
      </c>
      <c r="G694" s="1">
        <v>2885.42</v>
      </c>
      <c r="H694" s="1">
        <f>Tabela1[[#This Row],[PESO UND]]/1000*(1129)</f>
        <v>340.95799999999997</v>
      </c>
      <c r="I694" s="1"/>
    </row>
    <row r="695" spans="1:9" x14ac:dyDescent="0.25">
      <c r="A695">
        <v>1129</v>
      </c>
      <c r="B695" t="s">
        <v>672</v>
      </c>
      <c r="C695" t="str">
        <f t="shared" si="10"/>
        <v>32,5</v>
      </c>
      <c r="D695" s="2">
        <v>18.75</v>
      </c>
      <c r="E695" s="1">
        <v>818.52</v>
      </c>
      <c r="F695" s="1">
        <f>Tabela1[[#This Row],[PR.CUSTO+FRETE]]-Tabela1[[#This Row],[FRETE]]</f>
        <v>797.35124999999994</v>
      </c>
      <c r="G695" s="1">
        <v>1258.71</v>
      </c>
      <c r="H695" s="1">
        <f>Tabela1[[#This Row],[PESO UND]]/1000*(1129)</f>
        <v>21.168749999999999</v>
      </c>
      <c r="I695" s="1"/>
    </row>
    <row r="696" spans="1:9" x14ac:dyDescent="0.25">
      <c r="A696">
        <v>1128</v>
      </c>
      <c r="B696" t="s">
        <v>673</v>
      </c>
      <c r="C696" t="str">
        <f t="shared" si="10"/>
        <v>32,5</v>
      </c>
      <c r="D696" s="2">
        <v>195</v>
      </c>
      <c r="E696" s="1">
        <v>4030.42</v>
      </c>
      <c r="F696" s="1">
        <f>Tabela1[[#This Row],[PR.CUSTO+FRETE]]-Tabela1[[#This Row],[FRETE]]</f>
        <v>3810.2649999999999</v>
      </c>
      <c r="G696" s="1">
        <v>5981.81</v>
      </c>
      <c r="H696" s="1">
        <f>Tabela1[[#This Row],[PESO UND]]/1000*(1129)</f>
        <v>220.155</v>
      </c>
      <c r="I696" s="1"/>
    </row>
    <row r="697" spans="1:9" x14ac:dyDescent="0.25">
      <c r="A697">
        <v>1127</v>
      </c>
      <c r="B697" t="s">
        <v>674</v>
      </c>
      <c r="C697" t="str">
        <f t="shared" si="10"/>
        <v>32,5</v>
      </c>
      <c r="D697" s="2">
        <v>195</v>
      </c>
      <c r="E697" s="1">
        <v>3892.72</v>
      </c>
      <c r="F697" s="1">
        <f>Tabela1[[#This Row],[PR.CUSTO+FRETE]]-Tabela1[[#This Row],[FRETE]]</f>
        <v>3672.5649999999996</v>
      </c>
      <c r="G697" s="1">
        <v>5764.44</v>
      </c>
      <c r="H697" s="1">
        <f>Tabela1[[#This Row],[PESO UND]]/1000*(1129)</f>
        <v>220.155</v>
      </c>
      <c r="I697" s="1"/>
    </row>
    <row r="698" spans="1:9" x14ac:dyDescent="0.25">
      <c r="A698">
        <v>1236</v>
      </c>
      <c r="B698" t="s">
        <v>675</v>
      </c>
      <c r="C698" t="str">
        <f t="shared" si="10"/>
        <v>32,5</v>
      </c>
      <c r="D698" s="2">
        <v>920.7</v>
      </c>
      <c r="E698" s="1">
        <v>4881.6499999999996</v>
      </c>
      <c r="F698" s="1">
        <f>Tabela1[[#This Row],[PR.CUSTO+FRETE]]-Tabela1[[#This Row],[FRETE]]</f>
        <v>3842.1796999999997</v>
      </c>
      <c r="G698" s="1">
        <v>8339.08</v>
      </c>
      <c r="H698" s="1">
        <f>Tabela1[[#This Row],[PESO UND]]/1000*(1129)</f>
        <v>1039.4703000000002</v>
      </c>
      <c r="I698" s="1"/>
    </row>
    <row r="699" spans="1:9" x14ac:dyDescent="0.25">
      <c r="A699">
        <v>1243</v>
      </c>
      <c r="B699" t="s">
        <v>676</v>
      </c>
      <c r="C699" t="str">
        <f t="shared" si="10"/>
        <v>68,1</v>
      </c>
      <c r="D699" s="2">
        <v>6559.68</v>
      </c>
      <c r="E699" s="1">
        <v>38581.730000000003</v>
      </c>
      <c r="F699" s="1">
        <f>Tabela1[[#This Row],[PR.CUSTO+FRETE]]-Tabela1[[#This Row],[FRETE]]</f>
        <v>31175.851280000003</v>
      </c>
      <c r="G699" s="1">
        <v>62675.62</v>
      </c>
      <c r="H699" s="1">
        <f>Tabela1[[#This Row],[PESO UND]]/1000*(1129)</f>
        <v>7405.8787200000006</v>
      </c>
      <c r="I699" s="1"/>
    </row>
    <row r="700" spans="1:9" x14ac:dyDescent="0.25">
      <c r="A700">
        <v>1248</v>
      </c>
      <c r="B700" t="s">
        <v>677</v>
      </c>
      <c r="C700" t="str">
        <f t="shared" si="10"/>
        <v>68,1</v>
      </c>
      <c r="D700" s="2">
        <v>353.8</v>
      </c>
      <c r="E700" s="1">
        <v>2845.34</v>
      </c>
      <c r="F700" s="1">
        <f>Tabela1[[#This Row],[PR.CUSTO+FRETE]]-Tabela1[[#This Row],[FRETE]]</f>
        <v>2445.8998000000001</v>
      </c>
      <c r="G700" s="1">
        <v>4868.08</v>
      </c>
      <c r="H700" s="1">
        <f>Tabela1[[#This Row],[PESO UND]]/1000*(1129)</f>
        <v>399.4402</v>
      </c>
      <c r="I700" s="1"/>
    </row>
    <row r="701" spans="1:9" x14ac:dyDescent="0.25">
      <c r="A701">
        <v>1247</v>
      </c>
      <c r="B701" t="s">
        <v>678</v>
      </c>
      <c r="C701" t="str">
        <f t="shared" si="10"/>
        <v>68,1</v>
      </c>
      <c r="D701" s="2">
        <v>491</v>
      </c>
      <c r="E701" s="1">
        <v>2992.12</v>
      </c>
      <c r="F701" s="1">
        <f>Tabela1[[#This Row],[PR.CUSTO+FRETE]]-Tabela1[[#This Row],[FRETE]]</f>
        <v>2437.7809999999999</v>
      </c>
      <c r="G701" s="1">
        <v>5008.1499999999996</v>
      </c>
      <c r="H701" s="1">
        <f>Tabela1[[#This Row],[PESO UND]]/1000*(1129)</f>
        <v>554.33899999999994</v>
      </c>
      <c r="I701" s="1"/>
    </row>
    <row r="702" spans="1:9" x14ac:dyDescent="0.25">
      <c r="A702">
        <v>1246</v>
      </c>
      <c r="B702" t="s">
        <v>679</v>
      </c>
      <c r="C702" t="str">
        <f t="shared" si="10"/>
        <v>68,1</v>
      </c>
      <c r="D702" s="2">
        <v>54</v>
      </c>
      <c r="E702" s="1">
        <v>2606.3200000000002</v>
      </c>
      <c r="F702" s="1">
        <f>Tabela1[[#This Row],[PR.CUSTO+FRETE]]-Tabela1[[#This Row],[FRETE]]</f>
        <v>2545.3540000000003</v>
      </c>
      <c r="G702" s="1">
        <v>4018.11</v>
      </c>
      <c r="H702" s="1">
        <f>Tabela1[[#This Row],[PESO UND]]/1000*(1129)</f>
        <v>60.966000000000001</v>
      </c>
      <c r="I702" s="1"/>
    </row>
    <row r="703" spans="1:9" x14ac:dyDescent="0.25">
      <c r="A703">
        <v>1245</v>
      </c>
      <c r="B703" t="s">
        <v>680</v>
      </c>
      <c r="C703" t="str">
        <f t="shared" si="10"/>
        <v>68,1</v>
      </c>
      <c r="D703" s="2">
        <v>661.5</v>
      </c>
      <c r="E703" s="1">
        <v>13299.38</v>
      </c>
      <c r="F703" s="1">
        <f>Tabela1[[#This Row],[PR.CUSTO+FRETE]]-Tabela1[[#This Row],[FRETE]]</f>
        <v>12552.546499999999</v>
      </c>
      <c r="G703" s="1">
        <v>19727.759999999998</v>
      </c>
      <c r="H703" s="1">
        <f>Tabela1[[#This Row],[PESO UND]]/1000*(1129)</f>
        <v>746.83349999999996</v>
      </c>
      <c r="I703" s="1"/>
    </row>
    <row r="704" spans="1:9" x14ac:dyDescent="0.25">
      <c r="A704">
        <v>1244</v>
      </c>
      <c r="B704" t="s">
        <v>681</v>
      </c>
      <c r="C704" t="str">
        <f t="shared" si="10"/>
        <v>68,1</v>
      </c>
      <c r="D704" s="2">
        <v>661.5</v>
      </c>
      <c r="E704" s="1">
        <v>12833.49</v>
      </c>
      <c r="F704" s="1">
        <f>Tabela1[[#This Row],[PR.CUSTO+FRETE]]-Tabela1[[#This Row],[FRETE]]</f>
        <v>12086.656499999999</v>
      </c>
      <c r="G704" s="1">
        <v>18992.310000000001</v>
      </c>
      <c r="H704" s="1">
        <f>Tabela1[[#This Row],[PESO UND]]/1000*(1129)</f>
        <v>746.83349999999996</v>
      </c>
      <c r="I704" s="1"/>
    </row>
    <row r="705" spans="1:9" x14ac:dyDescent="0.25">
      <c r="A705">
        <v>1300</v>
      </c>
      <c r="B705" t="s">
        <v>682</v>
      </c>
      <c r="C705" t="str">
        <f t="shared" si="10"/>
        <v>68,5</v>
      </c>
      <c r="D705" s="2">
        <v>6891.86</v>
      </c>
      <c r="E705" s="1">
        <v>39307.589999999997</v>
      </c>
      <c r="F705" s="1">
        <f>Tabela1[[#This Row],[PR.CUSTO+FRETE]]-Tabela1[[#This Row],[FRETE]]</f>
        <v>31526.680059999999</v>
      </c>
      <c r="G705" s="1">
        <v>64655.16</v>
      </c>
      <c r="H705" s="1">
        <f>Tabela1[[#This Row],[PESO UND]]/1000*(1129)</f>
        <v>7780.9099399999996</v>
      </c>
      <c r="I705" s="1"/>
    </row>
    <row r="706" spans="1:9" x14ac:dyDescent="0.25">
      <c r="A706">
        <v>1303</v>
      </c>
      <c r="B706" t="s">
        <v>683</v>
      </c>
      <c r="C706" t="str">
        <f t="shared" ref="C706:C769" si="11">IFERROR(MID(B706,FIND("(",B706)+1,4),"")</f>
        <v>68,5</v>
      </c>
      <c r="D706" s="2">
        <v>50.4</v>
      </c>
      <c r="E706" s="1">
        <v>2432.56</v>
      </c>
      <c r="F706" s="1">
        <f>Tabela1[[#This Row],[PR.CUSTO+FRETE]]-Tabela1[[#This Row],[FRETE]]</f>
        <v>2375.6583999999998</v>
      </c>
      <c r="G706" s="1">
        <v>3750.24</v>
      </c>
      <c r="H706" s="1">
        <f>Tabela1[[#This Row],[PESO UND]]/1000*(1129)</f>
        <v>56.901600000000002</v>
      </c>
      <c r="I706" s="1"/>
    </row>
    <row r="707" spans="1:9" x14ac:dyDescent="0.25">
      <c r="A707">
        <v>1302</v>
      </c>
      <c r="B707" t="s">
        <v>684</v>
      </c>
      <c r="C707" t="str">
        <f t="shared" si="11"/>
        <v>68,5</v>
      </c>
      <c r="D707" s="2">
        <v>475.2</v>
      </c>
      <c r="E707" s="1">
        <v>8917.2099999999991</v>
      </c>
      <c r="F707" s="1">
        <f>Tabela1[[#This Row],[PR.CUSTO+FRETE]]-Tabela1[[#This Row],[FRETE]]</f>
        <v>8380.7091999999993</v>
      </c>
      <c r="G707" s="1">
        <v>13229.55</v>
      </c>
      <c r="H707" s="1">
        <f>Tabela1[[#This Row],[PESO UND]]/1000*(1129)</f>
        <v>536.50080000000003</v>
      </c>
      <c r="I707" s="1"/>
    </row>
    <row r="708" spans="1:9" x14ac:dyDescent="0.25">
      <c r="A708">
        <v>1301</v>
      </c>
      <c r="B708" t="s">
        <v>685</v>
      </c>
      <c r="C708" t="str">
        <f t="shared" si="11"/>
        <v>68,5</v>
      </c>
      <c r="D708" s="2">
        <v>475.2</v>
      </c>
      <c r="E708" s="1">
        <v>8618.7000000000007</v>
      </c>
      <c r="F708" s="1">
        <f>Tabela1[[#This Row],[PR.CUSTO+FRETE]]-Tabela1[[#This Row],[FRETE]]</f>
        <v>8082.1992000000009</v>
      </c>
      <c r="G708" s="1">
        <v>12758.33</v>
      </c>
      <c r="H708" s="1">
        <f>Tabela1[[#This Row],[PESO UND]]/1000*(1129)</f>
        <v>536.50080000000003</v>
      </c>
      <c r="I708" s="1"/>
    </row>
    <row r="709" spans="1:9" x14ac:dyDescent="0.25">
      <c r="A709">
        <v>305</v>
      </c>
      <c r="B709" t="s">
        <v>686</v>
      </c>
      <c r="C709" t="str">
        <f t="shared" si="11"/>
        <v>26,0</v>
      </c>
      <c r="D709" s="2">
        <v>3203.64</v>
      </c>
      <c r="E709" s="1">
        <v>16809.55</v>
      </c>
      <c r="F709" s="1">
        <f>Tabela1[[#This Row],[PR.CUSTO+FRETE]]-Tabela1[[#This Row],[FRETE]]</f>
        <v>13192.640439999999</v>
      </c>
      <c r="G709" s="1">
        <v>27454.53</v>
      </c>
      <c r="H709" s="1">
        <f>Tabela1[[#This Row],[PESO UND]]/1000*(1129)</f>
        <v>3616.9095600000001</v>
      </c>
      <c r="I709" s="1"/>
    </row>
    <row r="710" spans="1:9" x14ac:dyDescent="0.25">
      <c r="A710">
        <v>309</v>
      </c>
      <c r="B710" t="s">
        <v>687</v>
      </c>
      <c r="C710" t="str">
        <f t="shared" si="11"/>
        <v>26,0</v>
      </c>
      <c r="D710" s="2">
        <v>958</v>
      </c>
      <c r="E710" s="1">
        <v>5168.2700000000004</v>
      </c>
      <c r="F710" s="1">
        <f>Tabela1[[#This Row],[PR.CUSTO+FRETE]]-Tabela1[[#This Row],[FRETE]]</f>
        <v>4086.6880000000006</v>
      </c>
      <c r="G710" s="1">
        <v>8728.09</v>
      </c>
      <c r="H710" s="1">
        <f>Tabela1[[#This Row],[PESO UND]]/1000*(1129)</f>
        <v>1081.5819999999999</v>
      </c>
      <c r="I710" s="1"/>
    </row>
    <row r="711" spans="1:9" x14ac:dyDescent="0.25">
      <c r="A711">
        <v>308</v>
      </c>
      <c r="B711" t="s">
        <v>688</v>
      </c>
      <c r="C711" t="str">
        <f t="shared" si="11"/>
        <v>26,0</v>
      </c>
      <c r="D711" s="2">
        <v>32.4</v>
      </c>
      <c r="E711" s="1">
        <v>1110.82</v>
      </c>
      <c r="F711" s="1">
        <f>Tabela1[[#This Row],[PR.CUSTO+FRETE]]-Tabela1[[#This Row],[FRETE]]</f>
        <v>1074.2403999999999</v>
      </c>
      <c r="G711" s="1">
        <v>1695.82</v>
      </c>
      <c r="H711" s="1">
        <f>Tabela1[[#This Row],[PESO UND]]/1000*(1129)</f>
        <v>36.579599999999999</v>
      </c>
      <c r="I711" s="1"/>
    </row>
    <row r="712" spans="1:9" x14ac:dyDescent="0.25">
      <c r="A712">
        <v>307</v>
      </c>
      <c r="B712" t="s">
        <v>689</v>
      </c>
      <c r="C712" t="str">
        <f t="shared" si="11"/>
        <v>26,0</v>
      </c>
      <c r="D712" s="2">
        <v>243.7</v>
      </c>
      <c r="E712" s="1">
        <v>4565.53</v>
      </c>
      <c r="F712" s="1">
        <f>Tabela1[[#This Row],[PR.CUSTO+FRETE]]-Tabela1[[#This Row],[FRETE]]</f>
        <v>4290.3926999999994</v>
      </c>
      <c r="G712" s="1">
        <v>6772.67</v>
      </c>
      <c r="H712" s="1">
        <f>Tabela1[[#This Row],[PESO UND]]/1000*(1129)</f>
        <v>275.13729999999998</v>
      </c>
      <c r="I712" s="1"/>
    </row>
    <row r="713" spans="1:9" x14ac:dyDescent="0.25">
      <c r="A713">
        <v>306</v>
      </c>
      <c r="B713" t="s">
        <v>690</v>
      </c>
      <c r="C713" t="str">
        <f t="shared" si="11"/>
        <v>26,0</v>
      </c>
      <c r="D713" s="2">
        <v>243.7</v>
      </c>
      <c r="E713" s="1">
        <v>4393.2299999999996</v>
      </c>
      <c r="F713" s="1">
        <f>Tabela1[[#This Row],[PR.CUSTO+FRETE]]-Tabela1[[#This Row],[FRETE]]</f>
        <v>4118.0926999999992</v>
      </c>
      <c r="G713" s="1">
        <v>6500.72</v>
      </c>
      <c r="H713" s="1">
        <f>Tabela1[[#This Row],[PESO UND]]/1000*(1129)</f>
        <v>275.13729999999998</v>
      </c>
      <c r="I713" s="1"/>
    </row>
    <row r="714" spans="1:9" x14ac:dyDescent="0.25">
      <c r="A714">
        <v>604</v>
      </c>
      <c r="B714" t="s">
        <v>691</v>
      </c>
      <c r="C714" t="str">
        <f t="shared" si="11"/>
        <v>32,8</v>
      </c>
      <c r="D714" s="2">
        <v>234.9</v>
      </c>
      <c r="E714" s="1">
        <v>1821.74</v>
      </c>
      <c r="F714" s="1">
        <f>Tabela1[[#This Row],[PR.CUSTO+FRETE]]-Tabela1[[#This Row],[FRETE]]</f>
        <v>1556.5379</v>
      </c>
      <c r="G714" s="1">
        <v>3130.6</v>
      </c>
      <c r="H714" s="1">
        <f>Tabela1[[#This Row],[PESO UND]]/1000*(1129)</f>
        <v>265.20209999999997</v>
      </c>
      <c r="I714" s="1"/>
    </row>
    <row r="715" spans="1:9" x14ac:dyDescent="0.25">
      <c r="A715">
        <v>303</v>
      </c>
      <c r="B715" t="s">
        <v>692</v>
      </c>
      <c r="C715" t="str">
        <f t="shared" si="11"/>
        <v>32,8</v>
      </c>
      <c r="D715" s="2">
        <v>26.25</v>
      </c>
      <c r="E715" s="1">
        <v>1145.93</v>
      </c>
      <c r="F715" s="1">
        <f>Tabela1[[#This Row],[PR.CUSTO+FRETE]]-Tabela1[[#This Row],[FRETE]]</f>
        <v>1116.29375</v>
      </c>
      <c r="G715" s="1">
        <v>1762.19</v>
      </c>
      <c r="H715" s="1">
        <f>Tabela1[[#This Row],[PESO UND]]/1000*(1129)</f>
        <v>29.63625</v>
      </c>
      <c r="I715" s="1"/>
    </row>
    <row r="716" spans="1:9" x14ac:dyDescent="0.25">
      <c r="A716">
        <v>304</v>
      </c>
      <c r="B716" t="s">
        <v>693</v>
      </c>
      <c r="C716" t="str">
        <f t="shared" si="11"/>
        <v>32,8</v>
      </c>
      <c r="D716" s="2">
        <v>530</v>
      </c>
      <c r="E716" s="1">
        <v>2834.49</v>
      </c>
      <c r="F716" s="1">
        <f>Tabela1[[#This Row],[PR.CUSTO+FRETE]]-Tabela1[[#This Row],[FRETE]]</f>
        <v>2236.12</v>
      </c>
      <c r="G716" s="1">
        <v>4790.09</v>
      </c>
      <c r="H716" s="1">
        <f>Tabela1[[#This Row],[PESO UND]]/1000*(1129)</f>
        <v>598.37</v>
      </c>
      <c r="I716" s="1"/>
    </row>
    <row r="717" spans="1:9" x14ac:dyDescent="0.25">
      <c r="A717">
        <v>300</v>
      </c>
      <c r="B717" t="s">
        <v>694</v>
      </c>
      <c r="C717" t="str">
        <f t="shared" si="11"/>
        <v>32,8</v>
      </c>
      <c r="D717" s="2">
        <v>3222.47</v>
      </c>
      <c r="E717" s="1">
        <v>18392.38</v>
      </c>
      <c r="F717" s="1">
        <f>Tabela1[[#This Row],[PR.CUSTO+FRETE]]-Tabela1[[#This Row],[FRETE]]</f>
        <v>14754.211370000001</v>
      </c>
      <c r="G717" s="1">
        <v>31187.41</v>
      </c>
      <c r="H717" s="1">
        <f>Tabela1[[#This Row],[PESO UND]]/1000*(1129)</f>
        <v>3638.1686300000001</v>
      </c>
      <c r="I717" s="1"/>
    </row>
    <row r="718" spans="1:9" x14ac:dyDescent="0.25">
      <c r="A718">
        <v>302</v>
      </c>
      <c r="B718" t="s">
        <v>695</v>
      </c>
      <c r="C718" t="str">
        <f t="shared" si="11"/>
        <v>32,8</v>
      </c>
      <c r="D718" s="2">
        <v>365.8</v>
      </c>
      <c r="E718" s="1">
        <v>7730.65</v>
      </c>
      <c r="F718" s="1">
        <f>Tabela1[[#This Row],[PR.CUSTO+FRETE]]-Tabela1[[#This Row],[FRETE]]</f>
        <v>7317.6617999999999</v>
      </c>
      <c r="G718" s="1">
        <v>11470.36</v>
      </c>
      <c r="H718" s="1">
        <f>Tabela1[[#This Row],[PESO UND]]/1000*(1129)</f>
        <v>412.98820000000001</v>
      </c>
      <c r="I718" s="1"/>
    </row>
    <row r="719" spans="1:9" x14ac:dyDescent="0.25">
      <c r="A719">
        <v>301</v>
      </c>
      <c r="B719" t="s">
        <v>696</v>
      </c>
      <c r="C719" t="str">
        <f t="shared" si="11"/>
        <v>32,8</v>
      </c>
      <c r="D719" s="2">
        <v>365.8</v>
      </c>
      <c r="E719" s="1">
        <v>7473</v>
      </c>
      <c r="F719" s="1">
        <f>Tabela1[[#This Row],[PR.CUSTO+FRETE]]-Tabela1[[#This Row],[FRETE]]</f>
        <v>7060.0118000000002</v>
      </c>
      <c r="G719" s="1">
        <v>11063.63</v>
      </c>
      <c r="H719" s="1">
        <f>Tabela1[[#This Row],[PESO UND]]/1000*(1129)</f>
        <v>412.98820000000001</v>
      </c>
      <c r="I719" s="1"/>
    </row>
    <row r="720" spans="1:9" x14ac:dyDescent="0.25">
      <c r="A720">
        <v>865</v>
      </c>
      <c r="B720" t="s">
        <v>697</v>
      </c>
      <c r="C720" t="str">
        <f t="shared" si="11"/>
        <v>24M²</v>
      </c>
      <c r="D720" s="2">
        <v>2059.85</v>
      </c>
      <c r="E720" s="1">
        <v>13838.8</v>
      </c>
      <c r="F720" s="1">
        <f>Tabela1[[#This Row],[PR.CUSTO+FRETE]]-Tabela1[[#This Row],[FRETE]]</f>
        <v>11513.22935</v>
      </c>
      <c r="G720" s="1">
        <v>23459.69</v>
      </c>
      <c r="H720" s="1">
        <f>Tabela1[[#This Row],[PESO UND]]/1000*(1129)</f>
        <v>2325.5706500000001</v>
      </c>
      <c r="I720" s="1"/>
    </row>
    <row r="721" spans="1:9" x14ac:dyDescent="0.25">
      <c r="A721">
        <v>870</v>
      </c>
      <c r="B721" t="s">
        <v>698</v>
      </c>
      <c r="C721" t="str">
        <f t="shared" si="11"/>
        <v>24M²</v>
      </c>
      <c r="D721" s="2">
        <v>514.25</v>
      </c>
      <c r="E721" s="1">
        <v>3099.76</v>
      </c>
      <c r="F721" s="1">
        <f>Tabela1[[#This Row],[PR.CUSTO+FRETE]]-Tabela1[[#This Row],[FRETE]]</f>
        <v>2519.1717500000004</v>
      </c>
      <c r="G721" s="1">
        <v>5415.43</v>
      </c>
      <c r="H721" s="1">
        <f>Tabela1[[#This Row],[PESO UND]]/1000*(1129)</f>
        <v>580.58825000000002</v>
      </c>
      <c r="I721" s="1"/>
    </row>
    <row r="722" spans="1:9" x14ac:dyDescent="0.25">
      <c r="A722">
        <v>869</v>
      </c>
      <c r="B722" t="s">
        <v>699</v>
      </c>
      <c r="C722" t="str">
        <f t="shared" si="11"/>
        <v>24M²</v>
      </c>
      <c r="D722" s="2">
        <v>166.7</v>
      </c>
      <c r="E722" s="1">
        <v>1345.05</v>
      </c>
      <c r="F722" s="1">
        <f>Tabela1[[#This Row],[PR.CUSTO+FRETE]]-Tabela1[[#This Row],[FRETE]]</f>
        <v>1156.8456999999999</v>
      </c>
      <c r="G722" s="1">
        <v>2301.25</v>
      </c>
      <c r="H722" s="1">
        <f>Tabela1[[#This Row],[PESO UND]]/1000*(1129)</f>
        <v>188.20429999999999</v>
      </c>
      <c r="I722" s="1"/>
    </row>
    <row r="723" spans="1:9" x14ac:dyDescent="0.25">
      <c r="A723">
        <v>871</v>
      </c>
      <c r="B723" t="s">
        <v>700</v>
      </c>
      <c r="C723" t="str">
        <f t="shared" si="11"/>
        <v>24M²</v>
      </c>
      <c r="D723" s="2">
        <v>200</v>
      </c>
      <c r="E723" s="1">
        <v>1191.07</v>
      </c>
      <c r="F723" s="1">
        <f>Tabela1[[#This Row],[PR.CUSTO+FRETE]]-Tabela1[[#This Row],[FRETE]]</f>
        <v>965.27</v>
      </c>
      <c r="G723" s="1">
        <v>2057.38</v>
      </c>
      <c r="H723" s="1">
        <f>Tabela1[[#This Row],[PESO UND]]/1000*(1129)</f>
        <v>225.8</v>
      </c>
      <c r="I723" s="1"/>
    </row>
    <row r="724" spans="1:9" x14ac:dyDescent="0.25">
      <c r="A724">
        <v>868</v>
      </c>
      <c r="B724" t="s">
        <v>701</v>
      </c>
      <c r="C724" t="str">
        <f t="shared" si="11"/>
        <v>24M²</v>
      </c>
      <c r="D724" s="2">
        <v>18.75</v>
      </c>
      <c r="E724" s="1">
        <v>818.52</v>
      </c>
      <c r="F724" s="1">
        <f>Tabela1[[#This Row],[PR.CUSTO+FRETE]]-Tabela1[[#This Row],[FRETE]]</f>
        <v>797.35124999999994</v>
      </c>
      <c r="G724" s="1">
        <v>1258.71</v>
      </c>
      <c r="H724" s="1">
        <f>Tabela1[[#This Row],[PESO UND]]/1000*(1129)</f>
        <v>21.168749999999999</v>
      </c>
      <c r="I724" s="1"/>
    </row>
    <row r="725" spans="1:9" x14ac:dyDescent="0.25">
      <c r="A725">
        <v>867</v>
      </c>
      <c r="B725" t="s">
        <v>702</v>
      </c>
      <c r="C725" t="str">
        <f t="shared" si="11"/>
        <v>24M²</v>
      </c>
      <c r="D725" s="2">
        <v>353.6</v>
      </c>
      <c r="E725" s="1">
        <v>7443.07</v>
      </c>
      <c r="F725" s="1">
        <f>Tabela1[[#This Row],[PR.CUSTO+FRETE]]-Tabela1[[#This Row],[FRETE]]</f>
        <v>7043.8555999999999</v>
      </c>
      <c r="G725" s="1">
        <v>11044.39</v>
      </c>
      <c r="H725" s="1">
        <f>Tabela1[[#This Row],[PESO UND]]/1000*(1129)</f>
        <v>399.21440000000001</v>
      </c>
      <c r="I725" s="1"/>
    </row>
    <row r="726" spans="1:9" x14ac:dyDescent="0.25">
      <c r="A726">
        <v>866</v>
      </c>
      <c r="B726" t="s">
        <v>703</v>
      </c>
      <c r="C726" t="str">
        <f t="shared" si="11"/>
        <v>24M²</v>
      </c>
      <c r="D726" s="2">
        <v>353.6</v>
      </c>
      <c r="E726" s="1">
        <v>7193.99</v>
      </c>
      <c r="F726" s="1">
        <f>Tabela1[[#This Row],[PR.CUSTO+FRETE]]-Tabela1[[#This Row],[FRETE]]</f>
        <v>6794.7755999999999</v>
      </c>
      <c r="G726" s="1">
        <v>10651.18</v>
      </c>
      <c r="H726" s="1">
        <f>Tabela1[[#This Row],[PESO UND]]/1000*(1129)</f>
        <v>399.21440000000001</v>
      </c>
      <c r="I726" s="1"/>
    </row>
    <row r="727" spans="1:9" x14ac:dyDescent="0.25">
      <c r="A727">
        <v>854</v>
      </c>
      <c r="B727" t="s">
        <v>704</v>
      </c>
      <c r="C727" t="str">
        <f t="shared" si="11"/>
        <v>19,5</v>
      </c>
      <c r="D727" s="2">
        <v>389.35</v>
      </c>
      <c r="E727" s="1">
        <v>2272.5</v>
      </c>
      <c r="F727" s="1">
        <f>Tabela1[[#This Row],[PR.CUSTO+FRETE]]-Tabela1[[#This Row],[FRETE]]</f>
        <v>1832.9238499999999</v>
      </c>
      <c r="G727" s="1">
        <v>3974.83</v>
      </c>
      <c r="H727" s="1">
        <f>Tabela1[[#This Row],[PESO UND]]/1000*(1129)</f>
        <v>439.57615000000004</v>
      </c>
      <c r="I727" s="1"/>
    </row>
    <row r="728" spans="1:9" x14ac:dyDescent="0.25">
      <c r="A728">
        <v>853</v>
      </c>
      <c r="B728" t="s">
        <v>705</v>
      </c>
      <c r="C728" t="str">
        <f t="shared" si="11"/>
        <v>19,5</v>
      </c>
      <c r="D728" s="2">
        <v>166.7</v>
      </c>
      <c r="E728" s="1">
        <v>1345.05</v>
      </c>
      <c r="F728" s="1">
        <f>Tabela1[[#This Row],[PR.CUSTO+FRETE]]-Tabela1[[#This Row],[FRETE]]</f>
        <v>1156.8456999999999</v>
      </c>
      <c r="G728" s="1">
        <v>2301.25</v>
      </c>
      <c r="H728" s="1">
        <f>Tabela1[[#This Row],[PESO UND]]/1000*(1129)</f>
        <v>188.20429999999999</v>
      </c>
      <c r="I728" s="1"/>
    </row>
    <row r="729" spans="1:9" x14ac:dyDescent="0.25">
      <c r="A729">
        <v>339</v>
      </c>
      <c r="B729" t="s">
        <v>706</v>
      </c>
      <c r="C729" t="str">
        <f t="shared" si="11"/>
        <v>19,5</v>
      </c>
      <c r="D729" s="2">
        <v>247</v>
      </c>
      <c r="E729" s="1">
        <v>1328.88</v>
      </c>
      <c r="F729" s="1">
        <f>Tabela1[[#This Row],[PR.CUSTO+FRETE]]-Tabela1[[#This Row],[FRETE]]</f>
        <v>1050.0170000000001</v>
      </c>
      <c r="G729" s="1">
        <v>2244.67</v>
      </c>
      <c r="H729" s="1">
        <f>Tabela1[[#This Row],[PESO UND]]/1000*(1129)</f>
        <v>278.863</v>
      </c>
      <c r="I729" s="1"/>
    </row>
    <row r="730" spans="1:9" x14ac:dyDescent="0.25">
      <c r="A730">
        <v>335</v>
      </c>
      <c r="B730" t="s">
        <v>707</v>
      </c>
      <c r="C730" t="str">
        <f t="shared" si="11"/>
        <v>19,5</v>
      </c>
      <c r="D730" s="2">
        <v>2102.1</v>
      </c>
      <c r="E730" s="1">
        <v>11740.19</v>
      </c>
      <c r="F730" s="1">
        <f>Tabela1[[#This Row],[PR.CUSTO+FRETE]]-Tabela1[[#This Row],[FRETE]]</f>
        <v>9366.919100000001</v>
      </c>
      <c r="G730" s="1">
        <v>19071.02</v>
      </c>
      <c r="H730" s="1">
        <f>Tabela1[[#This Row],[PESO UND]]/1000*(1129)</f>
        <v>2373.2709</v>
      </c>
      <c r="I730" s="1"/>
    </row>
    <row r="731" spans="1:9" x14ac:dyDescent="0.25">
      <c r="A731">
        <v>338</v>
      </c>
      <c r="B731" t="s">
        <v>708</v>
      </c>
      <c r="C731" t="str">
        <f t="shared" si="11"/>
        <v>19,5</v>
      </c>
      <c r="D731" s="2">
        <v>18</v>
      </c>
      <c r="E731" s="1">
        <v>868.77</v>
      </c>
      <c r="F731" s="1">
        <f>Tabela1[[#This Row],[PR.CUSTO+FRETE]]-Tabela1[[#This Row],[FRETE]]</f>
        <v>848.44799999999998</v>
      </c>
      <c r="G731" s="1">
        <v>1339.37</v>
      </c>
      <c r="H731" s="1">
        <f>Tabela1[[#This Row],[PESO UND]]/1000*(1129)</f>
        <v>20.321999999999999</v>
      </c>
      <c r="I731" s="1"/>
    </row>
    <row r="732" spans="1:9" x14ac:dyDescent="0.25">
      <c r="A732">
        <v>337</v>
      </c>
      <c r="B732" t="s">
        <v>709</v>
      </c>
      <c r="C732" t="str">
        <f t="shared" si="11"/>
        <v>19,5</v>
      </c>
      <c r="D732" s="2">
        <v>295.60000000000002</v>
      </c>
      <c r="E732" s="1">
        <v>6269.73</v>
      </c>
      <c r="F732" s="1">
        <f>Tabela1[[#This Row],[PR.CUSTO+FRETE]]-Tabela1[[#This Row],[FRETE]]</f>
        <v>5935.9975999999997</v>
      </c>
      <c r="G732" s="1">
        <v>9306.25</v>
      </c>
      <c r="H732" s="1">
        <f>Tabela1[[#This Row],[PESO UND]]/1000*(1129)</f>
        <v>333.73240000000004</v>
      </c>
      <c r="I732" s="1"/>
    </row>
    <row r="733" spans="1:9" x14ac:dyDescent="0.25">
      <c r="A733">
        <v>336</v>
      </c>
      <c r="B733" t="s">
        <v>710</v>
      </c>
      <c r="C733" t="str">
        <f t="shared" si="11"/>
        <v>19,5</v>
      </c>
      <c r="D733" s="2">
        <v>295.60000000000002</v>
      </c>
      <c r="E733" s="1">
        <v>6061.19</v>
      </c>
      <c r="F733" s="1">
        <f>Tabela1[[#This Row],[PR.CUSTO+FRETE]]-Tabela1[[#This Row],[FRETE]]</f>
        <v>5727.4575999999997</v>
      </c>
      <c r="G733" s="1">
        <v>8977.0400000000009</v>
      </c>
      <c r="H733" s="1">
        <f>Tabela1[[#This Row],[PESO UND]]/1000*(1129)</f>
        <v>333.73240000000004</v>
      </c>
      <c r="I733" s="1"/>
    </row>
    <row r="734" spans="1:9" x14ac:dyDescent="0.25">
      <c r="A734">
        <v>933</v>
      </c>
      <c r="B734" t="s">
        <v>711</v>
      </c>
      <c r="C734" t="str">
        <f t="shared" si="11"/>
        <v>61,2</v>
      </c>
      <c r="D734" s="2">
        <v>5375.24</v>
      </c>
      <c r="E734" s="1">
        <v>28515.61</v>
      </c>
      <c r="F734" s="1">
        <f>Tabela1[[#This Row],[PR.CUSTO+FRETE]]-Tabela1[[#This Row],[FRETE]]</f>
        <v>22446.964039999999</v>
      </c>
      <c r="G734" s="1">
        <v>46631.16</v>
      </c>
      <c r="H734" s="1">
        <f>Tabela1[[#This Row],[PESO UND]]/1000*(1129)</f>
        <v>6068.6459599999998</v>
      </c>
      <c r="I734" s="1"/>
    </row>
    <row r="735" spans="1:9" x14ac:dyDescent="0.25">
      <c r="A735">
        <v>939</v>
      </c>
      <c r="B735" t="s">
        <v>712</v>
      </c>
      <c r="C735" t="str">
        <f t="shared" si="11"/>
        <v>61,2</v>
      </c>
      <c r="D735" s="2">
        <v>1300.8</v>
      </c>
      <c r="E735" s="1">
        <v>7720.64</v>
      </c>
      <c r="F735" s="1">
        <f>Tabela1[[#This Row],[PR.CUSTO+FRETE]]-Tabela1[[#This Row],[FRETE]]</f>
        <v>6252.0367999999999</v>
      </c>
      <c r="G735" s="1">
        <v>13588.74</v>
      </c>
      <c r="H735" s="1">
        <f>Tabela1[[#This Row],[PESO UND]]/1000*(1129)</f>
        <v>1468.6032</v>
      </c>
      <c r="I735" s="1"/>
    </row>
    <row r="736" spans="1:9" x14ac:dyDescent="0.25">
      <c r="A736">
        <v>938</v>
      </c>
      <c r="B736" t="s">
        <v>713</v>
      </c>
      <c r="C736" t="str">
        <f t="shared" si="11"/>
        <v>61,2</v>
      </c>
      <c r="D736" s="2">
        <v>536.79999999999995</v>
      </c>
      <c r="E736" s="1">
        <v>3970.47</v>
      </c>
      <c r="F736" s="1">
        <f>Tabela1[[#This Row],[PR.CUSTO+FRETE]]-Tabela1[[#This Row],[FRETE]]</f>
        <v>3364.4227999999998</v>
      </c>
      <c r="G736" s="1">
        <v>6870.65</v>
      </c>
      <c r="H736" s="1">
        <f>Tabela1[[#This Row],[PESO UND]]/1000*(1129)</f>
        <v>606.04719999999998</v>
      </c>
      <c r="I736" s="1"/>
    </row>
    <row r="737" spans="1:9" x14ac:dyDescent="0.25">
      <c r="A737">
        <v>937</v>
      </c>
      <c r="B737" t="s">
        <v>714</v>
      </c>
      <c r="C737" t="str">
        <f t="shared" si="11"/>
        <v>61,2</v>
      </c>
      <c r="D737" s="2">
        <v>910</v>
      </c>
      <c r="E737" s="1">
        <v>4932.63</v>
      </c>
      <c r="F737" s="1">
        <f>Tabela1[[#This Row],[PR.CUSTO+FRETE]]-Tabela1[[#This Row],[FRETE]]</f>
        <v>3905.24</v>
      </c>
      <c r="G737" s="1">
        <v>8327.1</v>
      </c>
      <c r="H737" s="1">
        <f>Tabela1[[#This Row],[PESO UND]]/1000*(1129)</f>
        <v>1027.3900000000001</v>
      </c>
      <c r="I737" s="1"/>
    </row>
    <row r="738" spans="1:9" x14ac:dyDescent="0.25">
      <c r="A738">
        <v>936</v>
      </c>
      <c r="B738" t="s">
        <v>715</v>
      </c>
      <c r="C738" t="str">
        <f t="shared" si="11"/>
        <v>61,2</v>
      </c>
      <c r="D738" s="2">
        <v>30</v>
      </c>
      <c r="E738" s="1">
        <v>1309.6300000000001</v>
      </c>
      <c r="F738" s="1">
        <f>Tabela1[[#This Row],[PR.CUSTO+FRETE]]-Tabela1[[#This Row],[FRETE]]</f>
        <v>1275.7600000000002</v>
      </c>
      <c r="G738" s="1">
        <v>2013.93</v>
      </c>
      <c r="H738" s="1">
        <f>Tabela1[[#This Row],[PESO UND]]/1000*(1129)</f>
        <v>33.869999999999997</v>
      </c>
      <c r="I738" s="1"/>
    </row>
    <row r="739" spans="1:9" x14ac:dyDescent="0.25">
      <c r="A739">
        <v>935</v>
      </c>
      <c r="B739" t="s">
        <v>716</v>
      </c>
      <c r="C739" t="str">
        <f t="shared" si="11"/>
        <v>61,2</v>
      </c>
      <c r="D739" s="2">
        <v>487.5</v>
      </c>
      <c r="E739" s="1">
        <v>10442.790000000001</v>
      </c>
      <c r="F739" s="1">
        <f>Tabela1[[#This Row],[PR.CUSTO+FRETE]]-Tabela1[[#This Row],[FRETE]]</f>
        <v>9892.4025000000001</v>
      </c>
      <c r="G739" s="1">
        <v>15499.13</v>
      </c>
      <c r="H739" s="1">
        <f>Tabela1[[#This Row],[PESO UND]]/1000*(1129)</f>
        <v>550.38749999999993</v>
      </c>
      <c r="I739" s="1"/>
    </row>
    <row r="740" spans="1:9" x14ac:dyDescent="0.25">
      <c r="A740">
        <v>934</v>
      </c>
      <c r="B740" t="s">
        <v>717</v>
      </c>
      <c r="C740" t="str">
        <f t="shared" si="11"/>
        <v>61,2</v>
      </c>
      <c r="D740" s="2">
        <v>487.5</v>
      </c>
      <c r="E740" s="1">
        <v>10098.530000000001</v>
      </c>
      <c r="F740" s="1">
        <f>Tabela1[[#This Row],[PR.CUSTO+FRETE]]-Tabela1[[#This Row],[FRETE]]</f>
        <v>9548.1424999999999</v>
      </c>
      <c r="G740" s="1">
        <v>14955.7</v>
      </c>
      <c r="H740" s="1">
        <f>Tabela1[[#This Row],[PESO UND]]/1000*(1129)</f>
        <v>550.38749999999993</v>
      </c>
      <c r="I740" s="1"/>
    </row>
    <row r="741" spans="1:9" x14ac:dyDescent="0.25">
      <c r="A741">
        <v>227</v>
      </c>
      <c r="B741" t="s">
        <v>718</v>
      </c>
      <c r="C741" t="str">
        <f t="shared" si="11"/>
        <v>38M²</v>
      </c>
      <c r="D741" s="2">
        <v>4397.79</v>
      </c>
      <c r="E741" s="1">
        <v>25470.06</v>
      </c>
      <c r="F741" s="1">
        <f>Tabela1[[#This Row],[PR.CUSTO+FRETE]]-Tabela1[[#This Row],[FRETE]]</f>
        <v>20504.955090000003</v>
      </c>
      <c r="G741" s="1">
        <v>42179.199999999997</v>
      </c>
      <c r="H741" s="1">
        <f>Tabela1[[#This Row],[PESO UND]]/1000*(1129)</f>
        <v>4965.10491</v>
      </c>
      <c r="I741" s="1"/>
    </row>
    <row r="742" spans="1:9" x14ac:dyDescent="0.25">
      <c r="A742">
        <v>231</v>
      </c>
      <c r="B742" t="s">
        <v>719</v>
      </c>
      <c r="C742" t="str">
        <f t="shared" si="11"/>
        <v>38M²</v>
      </c>
      <c r="D742" s="2">
        <v>820</v>
      </c>
      <c r="E742" s="1">
        <v>4490.82</v>
      </c>
      <c r="F742" s="1">
        <f>Tabela1[[#This Row],[PR.CUSTO+FRETE]]-Tabela1[[#This Row],[FRETE]]</f>
        <v>3565.04</v>
      </c>
      <c r="G742" s="1">
        <v>7575.26</v>
      </c>
      <c r="H742" s="1">
        <f>Tabela1[[#This Row],[PESO UND]]/1000*(1129)</f>
        <v>925.78</v>
      </c>
      <c r="I742" s="1"/>
    </row>
    <row r="743" spans="1:9" x14ac:dyDescent="0.25">
      <c r="A743">
        <v>230</v>
      </c>
      <c r="B743" t="s">
        <v>720</v>
      </c>
      <c r="C743" t="str">
        <f t="shared" si="11"/>
        <v>38M²</v>
      </c>
      <c r="D743" s="2">
        <v>33.75</v>
      </c>
      <c r="E743" s="1">
        <v>1473.33</v>
      </c>
      <c r="F743" s="1">
        <f>Tabela1[[#This Row],[PR.CUSTO+FRETE]]-Tabela1[[#This Row],[FRETE]]</f>
        <v>1435.2262499999999</v>
      </c>
      <c r="G743" s="1">
        <v>2265.67</v>
      </c>
      <c r="H743" s="1">
        <f>Tabela1[[#This Row],[PESO UND]]/1000*(1129)</f>
        <v>38.103750000000005</v>
      </c>
      <c r="I743" s="1"/>
    </row>
    <row r="744" spans="1:9" x14ac:dyDescent="0.25">
      <c r="A744">
        <v>229</v>
      </c>
      <c r="B744" t="s">
        <v>721</v>
      </c>
      <c r="C744" t="str">
        <f t="shared" si="11"/>
        <v>38M²</v>
      </c>
      <c r="D744" s="2">
        <v>280.2</v>
      </c>
      <c r="E744" s="1">
        <v>5954.17</v>
      </c>
      <c r="F744" s="1">
        <f>Tabela1[[#This Row],[PR.CUSTO+FRETE]]-Tabela1[[#This Row],[FRETE]]</f>
        <v>5637.8242</v>
      </c>
      <c r="G744" s="1">
        <v>8840.8799999999992</v>
      </c>
      <c r="H744" s="1">
        <f>Tabela1[[#This Row],[PESO UND]]/1000*(1129)</f>
        <v>316.3458</v>
      </c>
      <c r="I744" s="1"/>
    </row>
    <row r="745" spans="1:9" x14ac:dyDescent="0.25">
      <c r="A745">
        <v>228</v>
      </c>
      <c r="B745" t="s">
        <v>722</v>
      </c>
      <c r="C745" t="str">
        <f t="shared" si="11"/>
        <v>38M²</v>
      </c>
      <c r="D745" s="2">
        <v>280.2</v>
      </c>
      <c r="E745" s="1">
        <v>5755.87</v>
      </c>
      <c r="F745" s="1">
        <f>Tabela1[[#This Row],[PR.CUSTO+FRETE]]-Tabela1[[#This Row],[FRETE]]</f>
        <v>5439.5241999999998</v>
      </c>
      <c r="G745" s="1">
        <v>8527.86</v>
      </c>
      <c r="H745" s="1">
        <f>Tabela1[[#This Row],[PESO UND]]/1000*(1129)</f>
        <v>316.3458</v>
      </c>
      <c r="I745" s="1"/>
    </row>
    <row r="746" spans="1:9" x14ac:dyDescent="0.25">
      <c r="A746">
        <v>732</v>
      </c>
      <c r="B746" t="s">
        <v>723</v>
      </c>
      <c r="C746" t="str">
        <f t="shared" si="11"/>
        <v>32M²</v>
      </c>
      <c r="D746" s="2">
        <v>493.5</v>
      </c>
      <c r="E746" s="1">
        <v>2957.5</v>
      </c>
      <c r="F746" s="1">
        <f>Tabela1[[#This Row],[PR.CUSTO+FRETE]]-Tabela1[[#This Row],[FRETE]]</f>
        <v>2400.3384999999998</v>
      </c>
      <c r="G746" s="1">
        <v>5152.8</v>
      </c>
      <c r="H746" s="1">
        <f>Tabela1[[#This Row],[PESO UND]]/1000*(1129)</f>
        <v>557.16150000000005</v>
      </c>
      <c r="I746" s="1"/>
    </row>
    <row r="747" spans="1:9" x14ac:dyDescent="0.25">
      <c r="A747">
        <v>314</v>
      </c>
      <c r="B747" t="s">
        <v>724</v>
      </c>
      <c r="C747" t="str">
        <f t="shared" si="11"/>
        <v>32M²</v>
      </c>
      <c r="D747" s="2">
        <v>187</v>
      </c>
      <c r="E747" s="1">
        <v>1034.3399999999999</v>
      </c>
      <c r="F747" s="1">
        <f>Tabela1[[#This Row],[PR.CUSTO+FRETE]]-Tabela1[[#This Row],[FRETE]]</f>
        <v>823.21699999999987</v>
      </c>
      <c r="G747" s="1">
        <v>1743.45</v>
      </c>
      <c r="H747" s="1">
        <f>Tabela1[[#This Row],[PESO UND]]/1000*(1129)</f>
        <v>211.12299999999999</v>
      </c>
      <c r="I747" s="1"/>
    </row>
    <row r="748" spans="1:9" x14ac:dyDescent="0.25">
      <c r="A748">
        <v>310</v>
      </c>
      <c r="B748" t="s">
        <v>725</v>
      </c>
      <c r="C748" t="str">
        <f t="shared" si="11"/>
        <v>32M²</v>
      </c>
      <c r="D748" s="2">
        <v>2512.0300000000002</v>
      </c>
      <c r="E748" s="1">
        <v>17494.87</v>
      </c>
      <c r="F748" s="1">
        <f>Tabela1[[#This Row],[PR.CUSTO+FRETE]]-Tabela1[[#This Row],[FRETE]]</f>
        <v>14658.788129999999</v>
      </c>
      <c r="G748" s="1">
        <v>29601.66</v>
      </c>
      <c r="H748" s="1">
        <f>Tabela1[[#This Row],[PESO UND]]/1000*(1129)</f>
        <v>2836.0818700000004</v>
      </c>
      <c r="I748" s="1"/>
    </row>
    <row r="749" spans="1:9" x14ac:dyDescent="0.25">
      <c r="A749">
        <v>313</v>
      </c>
      <c r="B749" t="s">
        <v>726</v>
      </c>
      <c r="C749" t="str">
        <f t="shared" si="11"/>
        <v>32M²</v>
      </c>
      <c r="D749" s="2">
        <v>22.5</v>
      </c>
      <c r="E749" s="1">
        <v>982.22</v>
      </c>
      <c r="F749" s="1">
        <f>Tabela1[[#This Row],[PR.CUSTO+FRETE]]-Tabela1[[#This Row],[FRETE]]</f>
        <v>956.8175</v>
      </c>
      <c r="G749" s="1">
        <v>1510.45</v>
      </c>
      <c r="H749" s="1">
        <f>Tabela1[[#This Row],[PESO UND]]/1000*(1129)</f>
        <v>25.4025</v>
      </c>
      <c r="I749" s="1"/>
    </row>
    <row r="750" spans="1:9" x14ac:dyDescent="0.25">
      <c r="A750">
        <v>312</v>
      </c>
      <c r="B750" t="s">
        <v>727</v>
      </c>
      <c r="C750" t="str">
        <f t="shared" si="11"/>
        <v>32M²</v>
      </c>
      <c r="D750" s="2">
        <v>335.3</v>
      </c>
      <c r="E750" s="1">
        <v>7068.61</v>
      </c>
      <c r="F750" s="1">
        <f>Tabela1[[#This Row],[PR.CUSTO+FRETE]]-Tabela1[[#This Row],[FRETE]]</f>
        <v>6690.0562999999993</v>
      </c>
      <c r="G750" s="1">
        <v>10489.46</v>
      </c>
      <c r="H750" s="1">
        <f>Tabela1[[#This Row],[PESO UND]]/1000*(1129)</f>
        <v>378.55369999999999</v>
      </c>
      <c r="I750" s="1"/>
    </row>
    <row r="751" spans="1:9" x14ac:dyDescent="0.25">
      <c r="A751">
        <v>311</v>
      </c>
      <c r="B751" t="s">
        <v>728</v>
      </c>
      <c r="C751" t="str">
        <f t="shared" si="11"/>
        <v>32M²</v>
      </c>
      <c r="D751" s="2">
        <v>335.3</v>
      </c>
      <c r="E751" s="1">
        <v>6832.39</v>
      </c>
      <c r="F751" s="1">
        <f>Tabela1[[#This Row],[PR.CUSTO+FRETE]]-Tabela1[[#This Row],[FRETE]]</f>
        <v>6453.8362999999999</v>
      </c>
      <c r="G751" s="1">
        <v>10116.540000000001</v>
      </c>
      <c r="H751" s="1">
        <f>Tabela1[[#This Row],[PESO UND]]/1000*(1129)</f>
        <v>378.55369999999999</v>
      </c>
      <c r="I751" s="1"/>
    </row>
    <row r="752" spans="1:9" x14ac:dyDescent="0.25">
      <c r="A752">
        <v>144</v>
      </c>
      <c r="B752" t="s">
        <v>954</v>
      </c>
      <c r="C752" t="str">
        <f t="shared" si="11"/>
        <v>9,90</v>
      </c>
      <c r="D752" s="2">
        <v>1201.5</v>
      </c>
      <c r="E752" s="1">
        <v>6224.56</v>
      </c>
      <c r="F752" s="1">
        <f>Tabela1[[#This Row],[PR.CUSTO+FRETE]]-Tabela1[[#This Row],[FRETE]]</f>
        <v>4868.0665000000008</v>
      </c>
      <c r="G752" s="1">
        <v>10549.73</v>
      </c>
      <c r="H752" s="1">
        <f>Tabela1[[#This Row],[PESO UND]]/1000*(1129)</f>
        <v>1356.4935</v>
      </c>
      <c r="I752" s="1"/>
    </row>
    <row r="753" spans="1:9" x14ac:dyDescent="0.25">
      <c r="A753">
        <v>147</v>
      </c>
      <c r="B753" t="s">
        <v>729</v>
      </c>
      <c r="C753" t="str">
        <f t="shared" si="11"/>
        <v/>
      </c>
      <c r="D753" s="2">
        <v>11.25</v>
      </c>
      <c r="E753" s="1">
        <v>491.11</v>
      </c>
      <c r="F753" s="1">
        <f>Tabela1[[#This Row],[PR.CUSTO+FRETE]]-Tabela1[[#This Row],[FRETE]]</f>
        <v>478.40875</v>
      </c>
      <c r="G753" s="1">
        <v>755.22</v>
      </c>
      <c r="H753" s="1">
        <f>Tabela1[[#This Row],[PESO UND]]/1000*(1129)</f>
        <v>12.70125</v>
      </c>
      <c r="I753" s="1"/>
    </row>
    <row r="754" spans="1:9" x14ac:dyDescent="0.25">
      <c r="A754">
        <v>146</v>
      </c>
      <c r="B754" t="s">
        <v>730</v>
      </c>
      <c r="C754" t="str">
        <f t="shared" si="11"/>
        <v/>
      </c>
      <c r="D754" s="2">
        <v>134.1</v>
      </c>
      <c r="E754" s="1">
        <v>2771.92</v>
      </c>
      <c r="F754" s="1">
        <f>Tabela1[[#This Row],[PR.CUSTO+FRETE]]-Tabela1[[#This Row],[FRETE]]</f>
        <v>2620.5210999999999</v>
      </c>
      <c r="G754" s="1">
        <v>4115.3100000000004</v>
      </c>
      <c r="H754" s="1">
        <f>Tabela1[[#This Row],[PESO UND]]/1000*(1129)</f>
        <v>151.3989</v>
      </c>
      <c r="I754" s="1"/>
    </row>
    <row r="755" spans="1:9" x14ac:dyDescent="0.25">
      <c r="A755">
        <v>145</v>
      </c>
      <c r="B755" t="s">
        <v>731</v>
      </c>
      <c r="C755" t="str">
        <f t="shared" si="11"/>
        <v/>
      </c>
      <c r="D755" s="2">
        <v>134.1</v>
      </c>
      <c r="E755" s="1">
        <v>2677.37</v>
      </c>
      <c r="F755" s="1">
        <f>Tabela1[[#This Row],[PR.CUSTO+FRETE]]-Tabela1[[#This Row],[FRETE]]</f>
        <v>2525.9710999999998</v>
      </c>
      <c r="G755" s="1">
        <v>3966.04</v>
      </c>
      <c r="H755" s="1">
        <f>Tabela1[[#This Row],[PESO UND]]/1000*(1129)</f>
        <v>151.3989</v>
      </c>
      <c r="I755" s="1"/>
    </row>
    <row r="756" spans="1:9" x14ac:dyDescent="0.25">
      <c r="A756">
        <v>979</v>
      </c>
      <c r="B756" t="s">
        <v>732</v>
      </c>
      <c r="C756" t="str">
        <f t="shared" si="11"/>
        <v>159,</v>
      </c>
      <c r="D756" s="2">
        <v>7529.4</v>
      </c>
      <c r="E756" s="1">
        <v>51321.599999999999</v>
      </c>
      <c r="F756" s="1">
        <f>Tabela1[[#This Row],[PR.CUSTO+FRETE]]-Tabela1[[#This Row],[FRETE]]</f>
        <v>42820.907399999996</v>
      </c>
      <c r="G756" s="1">
        <v>83152.570000000007</v>
      </c>
      <c r="H756" s="1">
        <f>Tabela1[[#This Row],[PESO UND]]/1000*(1129)</f>
        <v>8500.6926000000003</v>
      </c>
      <c r="I756" s="1"/>
    </row>
    <row r="757" spans="1:9" x14ac:dyDescent="0.25">
      <c r="A757">
        <v>983</v>
      </c>
      <c r="B757" t="s">
        <v>733</v>
      </c>
      <c r="C757" t="str">
        <f t="shared" si="11"/>
        <v>159,</v>
      </c>
      <c r="D757" s="2">
        <v>3771.05</v>
      </c>
      <c r="E757" s="1">
        <v>20353.580000000002</v>
      </c>
      <c r="F757" s="1">
        <f>Tabela1[[#This Row],[PR.CUSTO+FRETE]]-Tabela1[[#This Row],[FRETE]]</f>
        <v>16096.064550000003</v>
      </c>
      <c r="G757" s="1">
        <v>35040.32</v>
      </c>
      <c r="H757" s="1">
        <f>Tabela1[[#This Row],[PESO UND]]/1000*(1129)</f>
        <v>4257.5154499999999</v>
      </c>
      <c r="I757" s="1"/>
    </row>
    <row r="758" spans="1:9" x14ac:dyDescent="0.25">
      <c r="A758">
        <v>984</v>
      </c>
      <c r="B758" t="s">
        <v>734</v>
      </c>
      <c r="C758" t="str">
        <f t="shared" si="11"/>
        <v>159,</v>
      </c>
      <c r="D758" s="2">
        <v>1344</v>
      </c>
      <c r="E758" s="1">
        <v>7295.85</v>
      </c>
      <c r="F758" s="1">
        <f>Tabela1[[#This Row],[PR.CUSTO+FRETE]]-Tabela1[[#This Row],[FRETE]]</f>
        <v>5778.4740000000002</v>
      </c>
      <c r="G758" s="1">
        <v>12315.22</v>
      </c>
      <c r="H758" s="1">
        <f>Tabela1[[#This Row],[PESO UND]]/1000*(1129)</f>
        <v>1517.3760000000002</v>
      </c>
      <c r="I758" s="1"/>
    </row>
    <row r="759" spans="1:9" x14ac:dyDescent="0.25">
      <c r="A759">
        <v>980</v>
      </c>
      <c r="B759" t="s">
        <v>735</v>
      </c>
      <c r="C759" t="str">
        <f t="shared" si="11"/>
        <v>159,</v>
      </c>
      <c r="D759" s="2">
        <v>75</v>
      </c>
      <c r="E759" s="1">
        <v>3274.08</v>
      </c>
      <c r="F759" s="1">
        <f>Tabela1[[#This Row],[PR.CUSTO+FRETE]]-Tabela1[[#This Row],[FRETE]]</f>
        <v>3189.4049999999997</v>
      </c>
      <c r="G759" s="1">
        <v>5034.82</v>
      </c>
      <c r="H759" s="1">
        <f>Tabela1[[#This Row],[PESO UND]]/1000*(1129)</f>
        <v>84.674999999999997</v>
      </c>
      <c r="I759" s="1"/>
    </row>
    <row r="760" spans="1:9" x14ac:dyDescent="0.25">
      <c r="A760">
        <v>981</v>
      </c>
      <c r="B760" t="s">
        <v>736</v>
      </c>
      <c r="C760" t="str">
        <f t="shared" si="11"/>
        <v>159,</v>
      </c>
      <c r="D760" s="2">
        <v>1023.9</v>
      </c>
      <c r="E760" s="1">
        <v>21409.85</v>
      </c>
      <c r="F760" s="1">
        <f>Tabela1[[#This Row],[PR.CUSTO+FRETE]]-Tabela1[[#This Row],[FRETE]]</f>
        <v>20253.866899999997</v>
      </c>
      <c r="G760" s="1">
        <v>31776.13</v>
      </c>
      <c r="H760" s="1">
        <f>Tabela1[[#This Row],[PESO UND]]/1000*(1129)</f>
        <v>1155.9831000000001</v>
      </c>
      <c r="I760" s="1"/>
    </row>
    <row r="761" spans="1:9" x14ac:dyDescent="0.25">
      <c r="A761">
        <v>982</v>
      </c>
      <c r="B761" t="s">
        <v>737</v>
      </c>
      <c r="C761" t="str">
        <f t="shared" si="11"/>
        <v>159,</v>
      </c>
      <c r="D761" s="2">
        <v>1023.9</v>
      </c>
      <c r="E761" s="1">
        <v>20687.36</v>
      </c>
      <c r="F761" s="1">
        <f>Tabela1[[#This Row],[PR.CUSTO+FRETE]]-Tabela1[[#This Row],[FRETE]]</f>
        <v>19531.376899999999</v>
      </c>
      <c r="G761" s="1">
        <v>30635.64</v>
      </c>
      <c r="H761" s="1">
        <f>Tabela1[[#This Row],[PESO UND]]/1000*(1129)</f>
        <v>1155.9831000000001</v>
      </c>
      <c r="I761" s="1"/>
    </row>
    <row r="762" spans="1:9" x14ac:dyDescent="0.25">
      <c r="A762">
        <v>593</v>
      </c>
      <c r="B762" t="s">
        <v>738</v>
      </c>
      <c r="C762" t="str">
        <f t="shared" si="11"/>
        <v/>
      </c>
      <c r="D762" s="2">
        <v>21935.279999999999</v>
      </c>
      <c r="E762" s="1">
        <v>136356.45000000001</v>
      </c>
      <c r="F762" s="1">
        <f>Tabela1[[#This Row],[PR.CUSTO+FRETE]]-Tabela1[[#This Row],[FRETE]]</f>
        <v>111591.51888000002</v>
      </c>
      <c r="G762" s="1">
        <v>223712.05</v>
      </c>
      <c r="H762" s="1">
        <f>Tabela1[[#This Row],[PESO UND]]/1000*(1129)</f>
        <v>24764.931119999997</v>
      </c>
      <c r="I762" s="1"/>
    </row>
    <row r="763" spans="1:9" x14ac:dyDescent="0.25">
      <c r="A763">
        <v>597</v>
      </c>
      <c r="B763" t="s">
        <v>739</v>
      </c>
      <c r="C763" t="str">
        <f t="shared" si="11"/>
        <v/>
      </c>
      <c r="D763" s="2">
        <v>5463</v>
      </c>
      <c r="E763" s="1">
        <v>29261.43</v>
      </c>
      <c r="F763" s="1">
        <f>Tabela1[[#This Row],[PR.CUSTO+FRETE]]-Tabela1[[#This Row],[FRETE]]</f>
        <v>23093.703000000001</v>
      </c>
      <c r="G763" s="1">
        <v>49443.82</v>
      </c>
      <c r="H763" s="1">
        <f>Tabela1[[#This Row],[PESO UND]]/1000*(1129)</f>
        <v>6167.7269999999999</v>
      </c>
      <c r="I763" s="1"/>
    </row>
    <row r="764" spans="1:9" x14ac:dyDescent="0.25">
      <c r="A764">
        <v>596</v>
      </c>
      <c r="B764" t="s">
        <v>740</v>
      </c>
      <c r="C764" t="str">
        <f t="shared" si="11"/>
        <v/>
      </c>
      <c r="D764" s="2">
        <v>247.5</v>
      </c>
      <c r="E764" s="1">
        <v>10804.45</v>
      </c>
      <c r="F764" s="1">
        <f>Tabela1[[#This Row],[PR.CUSTO+FRETE]]-Tabela1[[#This Row],[FRETE]]</f>
        <v>10525.022500000001</v>
      </c>
      <c r="G764" s="1">
        <v>16614.91</v>
      </c>
      <c r="H764" s="1">
        <f>Tabela1[[#This Row],[PESO UND]]/1000*(1129)</f>
        <v>279.42750000000001</v>
      </c>
      <c r="I764" s="1"/>
    </row>
    <row r="765" spans="1:9" x14ac:dyDescent="0.25">
      <c r="A765">
        <v>595</v>
      </c>
      <c r="B765" t="s">
        <v>741</v>
      </c>
      <c r="C765" t="str">
        <f t="shared" si="11"/>
        <v/>
      </c>
      <c r="D765" s="2">
        <v>2744</v>
      </c>
      <c r="E765" s="1">
        <v>51631.37</v>
      </c>
      <c r="F765" s="1">
        <f>Tabela1[[#This Row],[PR.CUSTO+FRETE]]-Tabela1[[#This Row],[FRETE]]</f>
        <v>48533.394</v>
      </c>
      <c r="G765" s="1">
        <v>76613.429999999993</v>
      </c>
      <c r="H765" s="1">
        <f>Tabela1[[#This Row],[PESO UND]]/1000*(1129)</f>
        <v>3097.9760000000001</v>
      </c>
      <c r="I765" s="1"/>
    </row>
    <row r="766" spans="1:9" x14ac:dyDescent="0.25">
      <c r="A766">
        <v>594</v>
      </c>
      <c r="B766" t="s">
        <v>742</v>
      </c>
      <c r="C766" t="str">
        <f t="shared" si="11"/>
        <v/>
      </c>
      <c r="D766" s="2">
        <v>2744</v>
      </c>
      <c r="E766" s="1">
        <v>49916.2</v>
      </c>
      <c r="F766" s="1">
        <f>Tabela1[[#This Row],[PR.CUSTO+FRETE]]-Tabela1[[#This Row],[FRETE]]</f>
        <v>46818.223999999995</v>
      </c>
      <c r="G766" s="1">
        <v>73905.919999999998</v>
      </c>
      <c r="H766" s="1">
        <f>Tabela1[[#This Row],[PESO UND]]/1000*(1129)</f>
        <v>3097.9760000000001</v>
      </c>
      <c r="I766" s="1"/>
    </row>
    <row r="767" spans="1:9" x14ac:dyDescent="0.25">
      <c r="A767">
        <v>364</v>
      </c>
      <c r="B767" t="s">
        <v>743</v>
      </c>
      <c r="C767" t="str">
        <f t="shared" si="11"/>
        <v>86,4</v>
      </c>
      <c r="D767" s="2">
        <v>6163.07</v>
      </c>
      <c r="E767" s="1">
        <v>37366.69</v>
      </c>
      <c r="F767" s="1">
        <f>Tabela1[[#This Row],[PR.CUSTO+FRETE]]-Tabela1[[#This Row],[FRETE]]</f>
        <v>30408.583970000003</v>
      </c>
      <c r="G767" s="1">
        <v>63176.18</v>
      </c>
      <c r="H767" s="1">
        <f>Tabela1[[#This Row],[PESO UND]]/1000*(1129)</f>
        <v>6958.106029999999</v>
      </c>
      <c r="I767" s="1"/>
    </row>
    <row r="768" spans="1:9" x14ac:dyDescent="0.25">
      <c r="A768">
        <v>733</v>
      </c>
      <c r="B768" t="s">
        <v>744</v>
      </c>
      <c r="C768" t="str">
        <f t="shared" si="11"/>
        <v>86,4</v>
      </c>
      <c r="D768" s="2">
        <v>1240.8499999999999</v>
      </c>
      <c r="E768" s="1">
        <v>7796.31</v>
      </c>
      <c r="F768" s="1">
        <f>Tabela1[[#This Row],[PR.CUSTO+FRETE]]-Tabela1[[#This Row],[FRETE]]</f>
        <v>6395.3903500000006</v>
      </c>
      <c r="G768" s="1">
        <v>13905.53</v>
      </c>
      <c r="H768" s="1">
        <f>Tabela1[[#This Row],[PESO UND]]/1000*(1129)</f>
        <v>1400.91965</v>
      </c>
      <c r="I768" s="1"/>
    </row>
    <row r="769" spans="1:9" x14ac:dyDescent="0.25">
      <c r="A769">
        <v>368</v>
      </c>
      <c r="B769" t="s">
        <v>745</v>
      </c>
      <c r="C769" t="str">
        <f t="shared" si="11"/>
        <v>86,4</v>
      </c>
      <c r="D769" s="2">
        <v>604</v>
      </c>
      <c r="E769" s="1">
        <v>3430.48</v>
      </c>
      <c r="F769" s="1">
        <f>Tabela1[[#This Row],[PR.CUSTO+FRETE]]-Tabela1[[#This Row],[FRETE]]</f>
        <v>2748.5640000000003</v>
      </c>
      <c r="G769" s="1">
        <v>5770.84</v>
      </c>
      <c r="H769" s="1">
        <f>Tabela1[[#This Row],[PESO UND]]/1000*(1129)</f>
        <v>681.91599999999994</v>
      </c>
      <c r="I769" s="1"/>
    </row>
    <row r="770" spans="1:9" x14ac:dyDescent="0.25">
      <c r="A770">
        <v>367</v>
      </c>
      <c r="B770" t="s">
        <v>746</v>
      </c>
      <c r="C770" t="str">
        <f t="shared" ref="C770:C833" si="12">IFERROR(MID(B770,FIND("(",B770)+1,4),"")</f>
        <v>86,4</v>
      </c>
      <c r="D770" s="2">
        <v>52.5</v>
      </c>
      <c r="E770" s="1">
        <v>2291.85</v>
      </c>
      <c r="F770" s="1">
        <f>Tabela1[[#This Row],[PR.CUSTO+FRETE]]-Tabela1[[#This Row],[FRETE]]</f>
        <v>2232.5774999999999</v>
      </c>
      <c r="G770" s="1">
        <v>3524.38</v>
      </c>
      <c r="H770" s="1">
        <f>Tabela1[[#This Row],[PESO UND]]/1000*(1129)</f>
        <v>59.272500000000001</v>
      </c>
      <c r="I770" s="1"/>
    </row>
    <row r="771" spans="1:9" x14ac:dyDescent="0.25">
      <c r="A771">
        <v>366</v>
      </c>
      <c r="B771" t="s">
        <v>747</v>
      </c>
      <c r="C771" t="str">
        <f t="shared" si="12"/>
        <v>86,4</v>
      </c>
      <c r="D771" s="2">
        <v>583.5</v>
      </c>
      <c r="E771" s="1">
        <v>10976.56</v>
      </c>
      <c r="F771" s="1">
        <f>Tabela1[[#This Row],[PR.CUSTO+FRETE]]-Tabela1[[#This Row],[FRETE]]</f>
        <v>10317.788499999999</v>
      </c>
      <c r="G771" s="1">
        <v>16287.37</v>
      </c>
      <c r="H771" s="1">
        <f>Tabela1[[#This Row],[PESO UND]]/1000*(1129)</f>
        <v>658.77150000000006</v>
      </c>
      <c r="I771" s="1"/>
    </row>
    <row r="772" spans="1:9" x14ac:dyDescent="0.25">
      <c r="A772">
        <v>365</v>
      </c>
      <c r="B772" t="s">
        <v>748</v>
      </c>
      <c r="C772" t="str">
        <f t="shared" si="12"/>
        <v>86,4</v>
      </c>
      <c r="D772" s="2">
        <v>583.5</v>
      </c>
      <c r="E772" s="1">
        <v>10617.77</v>
      </c>
      <c r="F772" s="1">
        <f>Tabela1[[#This Row],[PR.CUSTO+FRETE]]-Tabela1[[#This Row],[FRETE]]</f>
        <v>9958.9984999999997</v>
      </c>
      <c r="G772" s="1">
        <v>15721</v>
      </c>
      <c r="H772" s="1">
        <f>Tabela1[[#This Row],[PESO UND]]/1000*(1129)</f>
        <v>658.77150000000006</v>
      </c>
      <c r="I772" s="1"/>
    </row>
    <row r="773" spans="1:9" x14ac:dyDescent="0.25">
      <c r="A773">
        <v>864</v>
      </c>
      <c r="B773" t="s">
        <v>749</v>
      </c>
      <c r="C773" t="str">
        <f t="shared" si="12"/>
        <v>106,</v>
      </c>
      <c r="D773" s="2">
        <v>1335.4</v>
      </c>
      <c r="E773" s="1">
        <v>9102.7199999999993</v>
      </c>
      <c r="F773" s="1">
        <f>Tabela1[[#This Row],[PR.CUSTO+FRETE]]-Tabela1[[#This Row],[FRETE]]</f>
        <v>7595.0533999999989</v>
      </c>
      <c r="G773" s="1">
        <v>16480.900000000001</v>
      </c>
      <c r="H773" s="1">
        <f>Tabela1[[#This Row],[PESO UND]]/1000*(1129)</f>
        <v>1507.6666000000002</v>
      </c>
      <c r="I773" s="1"/>
    </row>
    <row r="774" spans="1:9" x14ac:dyDescent="0.25">
      <c r="A774">
        <v>354</v>
      </c>
      <c r="B774" t="s">
        <v>750</v>
      </c>
      <c r="C774" t="str">
        <f t="shared" si="12"/>
        <v>106,</v>
      </c>
      <c r="D774" s="2">
        <v>8644.58</v>
      </c>
      <c r="E774" s="1">
        <v>51676.53</v>
      </c>
      <c r="F774" s="1">
        <f>Tabela1[[#This Row],[PR.CUSTO+FRETE]]-Tabela1[[#This Row],[FRETE]]</f>
        <v>41916.799180000002</v>
      </c>
      <c r="G774" s="1">
        <v>86383.29</v>
      </c>
      <c r="H774" s="1">
        <f>Tabela1[[#This Row],[PESO UND]]/1000*(1129)</f>
        <v>9759.7308199999989</v>
      </c>
      <c r="I774" s="1"/>
    </row>
    <row r="775" spans="1:9" x14ac:dyDescent="0.25">
      <c r="A775">
        <v>357</v>
      </c>
      <c r="B775" t="s">
        <v>751</v>
      </c>
      <c r="C775" t="str">
        <f t="shared" si="12"/>
        <v>106,</v>
      </c>
      <c r="D775" s="2">
        <v>78.75</v>
      </c>
      <c r="E775" s="1">
        <v>3437.78</v>
      </c>
      <c r="F775" s="1">
        <f>Tabela1[[#This Row],[PR.CUSTO+FRETE]]-Tabela1[[#This Row],[FRETE]]</f>
        <v>3348.8712500000001</v>
      </c>
      <c r="G775" s="1">
        <v>5286.56</v>
      </c>
      <c r="H775" s="1">
        <f>Tabela1[[#This Row],[PESO UND]]/1000*(1129)</f>
        <v>88.908749999999998</v>
      </c>
      <c r="I775" s="1"/>
    </row>
    <row r="776" spans="1:9" x14ac:dyDescent="0.25">
      <c r="A776">
        <v>356</v>
      </c>
      <c r="B776" t="s">
        <v>752</v>
      </c>
      <c r="C776" t="str">
        <f t="shared" si="12"/>
        <v>106,</v>
      </c>
      <c r="D776" s="2">
        <v>859.7</v>
      </c>
      <c r="E776" s="1">
        <v>17994.98</v>
      </c>
      <c r="F776" s="1">
        <f>Tabela1[[#This Row],[PR.CUSTO+FRETE]]-Tabela1[[#This Row],[FRETE]]</f>
        <v>17024.378700000001</v>
      </c>
      <c r="G776" s="1">
        <v>26695.95</v>
      </c>
      <c r="H776" s="1">
        <f>Tabela1[[#This Row],[PESO UND]]/1000*(1129)</f>
        <v>970.60130000000004</v>
      </c>
      <c r="I776" s="1"/>
    </row>
    <row r="777" spans="1:9" x14ac:dyDescent="0.25">
      <c r="A777">
        <v>355</v>
      </c>
      <c r="B777" t="s">
        <v>753</v>
      </c>
      <c r="C777" t="str">
        <f t="shared" si="12"/>
        <v>106,</v>
      </c>
      <c r="D777" s="2">
        <v>859.7</v>
      </c>
      <c r="E777" s="1">
        <v>17389.689999999999</v>
      </c>
      <c r="F777" s="1">
        <f>Tabela1[[#This Row],[PR.CUSTO+FRETE]]-Tabela1[[#This Row],[FRETE]]</f>
        <v>16419.0887</v>
      </c>
      <c r="G777" s="1">
        <v>25740.49</v>
      </c>
      <c r="H777" s="1">
        <f>Tabela1[[#This Row],[PESO UND]]/1000*(1129)</f>
        <v>970.60130000000004</v>
      </c>
      <c r="I777" s="1"/>
    </row>
    <row r="778" spans="1:9" x14ac:dyDescent="0.25">
      <c r="A778">
        <v>358</v>
      </c>
      <c r="B778" t="s">
        <v>754</v>
      </c>
      <c r="C778" t="str">
        <f t="shared" si="12"/>
        <v>106,</v>
      </c>
      <c r="D778" s="2">
        <v>1229</v>
      </c>
      <c r="E778" s="1">
        <v>6614.97</v>
      </c>
      <c r="F778" s="1">
        <f>Tabela1[[#This Row],[PR.CUSTO+FRETE]]-Tabela1[[#This Row],[FRETE]]</f>
        <v>5227.4290000000001</v>
      </c>
      <c r="G778" s="1">
        <v>11173.25</v>
      </c>
      <c r="H778" s="1">
        <f>Tabela1[[#This Row],[PESO UND]]/1000*(1129)</f>
        <v>1387.5410000000002</v>
      </c>
      <c r="I778" s="1"/>
    </row>
    <row r="779" spans="1:9" x14ac:dyDescent="0.25">
      <c r="A779">
        <v>1147</v>
      </c>
      <c r="B779" t="s">
        <v>755</v>
      </c>
      <c r="C779" t="str">
        <f t="shared" si="12"/>
        <v>70,0</v>
      </c>
      <c r="D779" s="2">
        <v>279</v>
      </c>
      <c r="E779" s="1">
        <v>1718.69</v>
      </c>
      <c r="F779" s="1">
        <f>Tabela1[[#This Row],[PR.CUSTO+FRETE]]-Tabela1[[#This Row],[FRETE]]</f>
        <v>1403.6990000000001</v>
      </c>
      <c r="G779" s="1">
        <v>2874.57</v>
      </c>
      <c r="H779" s="1">
        <f>Tabela1[[#This Row],[PESO UND]]/1000*(1129)</f>
        <v>314.99100000000004</v>
      </c>
      <c r="I779" s="1"/>
    </row>
    <row r="780" spans="1:9" x14ac:dyDescent="0.25">
      <c r="A780">
        <v>1146</v>
      </c>
      <c r="B780" t="s">
        <v>756</v>
      </c>
      <c r="C780" t="str">
        <f t="shared" si="12"/>
        <v>70,0</v>
      </c>
      <c r="D780" s="2">
        <v>39.6</v>
      </c>
      <c r="E780" s="1">
        <v>1911.3</v>
      </c>
      <c r="F780" s="1">
        <f>Tabela1[[#This Row],[PR.CUSTO+FRETE]]-Tabela1[[#This Row],[FRETE]]</f>
        <v>1866.5916</v>
      </c>
      <c r="G780" s="1">
        <v>2946.62</v>
      </c>
      <c r="H780" s="1">
        <f>Tabela1[[#This Row],[PESO UND]]/1000*(1129)</f>
        <v>44.708400000000005</v>
      </c>
      <c r="I780" s="1"/>
    </row>
    <row r="781" spans="1:9" x14ac:dyDescent="0.25">
      <c r="A781">
        <v>1145</v>
      </c>
      <c r="B781" t="s">
        <v>757</v>
      </c>
      <c r="C781" t="str">
        <f t="shared" si="12"/>
        <v>70,0</v>
      </c>
      <c r="D781" s="2">
        <v>682.9</v>
      </c>
      <c r="E781" s="1">
        <v>14107.11</v>
      </c>
      <c r="F781" s="1">
        <f>Tabela1[[#This Row],[PR.CUSTO+FRETE]]-Tabela1[[#This Row],[FRETE]]</f>
        <v>13336.115900000001</v>
      </c>
      <c r="G781" s="1">
        <v>20928.12</v>
      </c>
      <c r="H781" s="1">
        <f>Tabela1[[#This Row],[PESO UND]]/1000*(1129)</f>
        <v>770.99409999999989</v>
      </c>
      <c r="I781" s="1"/>
    </row>
    <row r="782" spans="1:9" x14ac:dyDescent="0.25">
      <c r="A782">
        <v>1144</v>
      </c>
      <c r="B782" t="s">
        <v>758</v>
      </c>
      <c r="C782" t="str">
        <f t="shared" si="12"/>
        <v>70,0</v>
      </c>
      <c r="D782" s="2">
        <v>682.9</v>
      </c>
      <c r="E782" s="1">
        <v>13626.37</v>
      </c>
      <c r="F782" s="1">
        <f>Tabela1[[#This Row],[PR.CUSTO+FRETE]]-Tabela1[[#This Row],[FRETE]]</f>
        <v>12855.375900000001</v>
      </c>
      <c r="G782" s="1">
        <v>20169.259999999998</v>
      </c>
      <c r="H782" s="1">
        <f>Tabela1[[#This Row],[PESO UND]]/1000*(1129)</f>
        <v>770.99409999999989</v>
      </c>
      <c r="I782" s="1"/>
    </row>
    <row r="783" spans="1:9" x14ac:dyDescent="0.25">
      <c r="A783">
        <v>1143</v>
      </c>
      <c r="B783" t="s">
        <v>759</v>
      </c>
      <c r="C783" t="str">
        <f t="shared" si="12"/>
        <v>70,0</v>
      </c>
      <c r="D783" s="2">
        <v>4595.09</v>
      </c>
      <c r="E783" s="1">
        <v>29018.93</v>
      </c>
      <c r="F783" s="1">
        <f>Tabela1[[#This Row],[PR.CUSTO+FRETE]]-Tabela1[[#This Row],[FRETE]]</f>
        <v>23831.073390000001</v>
      </c>
      <c r="G783" s="1">
        <v>48292.34</v>
      </c>
      <c r="H783" s="1">
        <f>Tabela1[[#This Row],[PESO UND]]/1000*(1129)</f>
        <v>5187.8566099999998</v>
      </c>
      <c r="I783" s="1"/>
    </row>
    <row r="784" spans="1:9" x14ac:dyDescent="0.25">
      <c r="A784">
        <v>1237</v>
      </c>
      <c r="B784" t="s">
        <v>760</v>
      </c>
      <c r="C784" t="str">
        <f t="shared" si="12"/>
        <v>77,4</v>
      </c>
      <c r="D784" s="2">
        <v>7075.46</v>
      </c>
      <c r="E784" s="1">
        <v>40592.69</v>
      </c>
      <c r="F784" s="1">
        <f>Tabela1[[#This Row],[PR.CUSTO+FRETE]]-Tabela1[[#This Row],[FRETE]]</f>
        <v>32604.49566</v>
      </c>
      <c r="G784" s="1">
        <v>66793.52</v>
      </c>
      <c r="H784" s="1">
        <f>Tabela1[[#This Row],[PESO UND]]/1000*(1129)</f>
        <v>7988.19434</v>
      </c>
      <c r="I784" s="1"/>
    </row>
    <row r="785" spans="1:9" x14ac:dyDescent="0.25">
      <c r="A785">
        <v>1242</v>
      </c>
      <c r="B785" t="s">
        <v>761</v>
      </c>
      <c r="C785" t="str">
        <f t="shared" si="12"/>
        <v>77,4</v>
      </c>
      <c r="D785" s="2">
        <v>1284</v>
      </c>
      <c r="E785" s="1">
        <v>7001.31</v>
      </c>
      <c r="F785" s="1">
        <f>Tabela1[[#This Row],[PR.CUSTO+FRETE]]-Tabela1[[#This Row],[FRETE]]</f>
        <v>5551.6740000000009</v>
      </c>
      <c r="G785" s="1">
        <v>11814</v>
      </c>
      <c r="H785" s="1">
        <f>Tabela1[[#This Row],[PESO UND]]/1000*(1129)</f>
        <v>1449.636</v>
      </c>
      <c r="I785" s="1"/>
    </row>
    <row r="786" spans="1:9" x14ac:dyDescent="0.25">
      <c r="A786">
        <v>1241</v>
      </c>
      <c r="B786" t="s">
        <v>762</v>
      </c>
      <c r="C786" t="str">
        <f t="shared" si="12"/>
        <v>77,4</v>
      </c>
      <c r="D786" s="2">
        <v>64.8</v>
      </c>
      <c r="E786" s="1">
        <v>3127.58</v>
      </c>
      <c r="F786" s="1">
        <f>Tabela1[[#This Row],[PR.CUSTO+FRETE]]-Tabela1[[#This Row],[FRETE]]</f>
        <v>3054.4207999999999</v>
      </c>
      <c r="G786" s="1">
        <v>4821.7299999999996</v>
      </c>
      <c r="H786" s="1">
        <f>Tabela1[[#This Row],[PESO UND]]/1000*(1129)</f>
        <v>73.159199999999998</v>
      </c>
      <c r="I786" s="1"/>
    </row>
    <row r="787" spans="1:9" x14ac:dyDescent="0.25">
      <c r="A787">
        <v>1240</v>
      </c>
      <c r="B787" t="s">
        <v>763</v>
      </c>
      <c r="C787" t="str">
        <f t="shared" si="12"/>
        <v>77,4</v>
      </c>
      <c r="D787" s="2">
        <v>649.4</v>
      </c>
      <c r="E787" s="1">
        <v>13486.94</v>
      </c>
      <c r="F787" s="1">
        <f>Tabela1[[#This Row],[PR.CUSTO+FRETE]]-Tabela1[[#This Row],[FRETE]]</f>
        <v>12753.767400000001</v>
      </c>
      <c r="G787" s="1">
        <v>20007.97</v>
      </c>
      <c r="H787" s="1">
        <f>Tabela1[[#This Row],[PESO UND]]/1000*(1129)</f>
        <v>733.17259999999999</v>
      </c>
      <c r="I787" s="1"/>
    </row>
    <row r="788" spans="1:9" x14ac:dyDescent="0.25">
      <c r="A788">
        <v>1239</v>
      </c>
      <c r="B788" t="s">
        <v>764</v>
      </c>
      <c r="C788" t="str">
        <f t="shared" si="12"/>
        <v>77,4</v>
      </c>
      <c r="D788" s="2">
        <v>649.4</v>
      </c>
      <c r="E788" s="1">
        <v>13029.92</v>
      </c>
      <c r="F788" s="1">
        <f>Tabela1[[#This Row],[PR.CUSTO+FRETE]]-Tabela1[[#This Row],[FRETE]]</f>
        <v>12296.7474</v>
      </c>
      <c r="G788" s="1">
        <v>19286.53</v>
      </c>
      <c r="H788" s="1">
        <f>Tabela1[[#This Row],[PESO UND]]/1000*(1129)</f>
        <v>733.17259999999999</v>
      </c>
      <c r="I788" s="1"/>
    </row>
    <row r="789" spans="1:9" x14ac:dyDescent="0.25">
      <c r="A789">
        <v>187</v>
      </c>
      <c r="B789" t="s">
        <v>765</v>
      </c>
      <c r="C789" t="str">
        <f t="shared" si="12"/>
        <v>119,</v>
      </c>
      <c r="D789" s="2">
        <v>8419.7999999999993</v>
      </c>
      <c r="E789" s="1">
        <v>49706.99</v>
      </c>
      <c r="F789" s="1">
        <f>Tabela1[[#This Row],[PR.CUSTO+FRETE]]-Tabela1[[#This Row],[FRETE]]</f>
        <v>40201.035799999998</v>
      </c>
      <c r="G789" s="1">
        <v>83239.460000000006</v>
      </c>
      <c r="H789" s="1">
        <f>Tabela1[[#This Row],[PESO UND]]/1000*(1129)</f>
        <v>9505.9541999999983</v>
      </c>
      <c r="I789" s="1"/>
    </row>
    <row r="790" spans="1:9" x14ac:dyDescent="0.25">
      <c r="A790">
        <v>193</v>
      </c>
      <c r="B790" t="s">
        <v>766</v>
      </c>
      <c r="C790" t="str">
        <f t="shared" si="12"/>
        <v>119,</v>
      </c>
      <c r="D790" s="2">
        <v>60</v>
      </c>
      <c r="E790" s="1">
        <v>2619.2600000000002</v>
      </c>
      <c r="F790" s="1">
        <f>Tabela1[[#This Row],[PR.CUSTO+FRETE]]-Tabela1[[#This Row],[FRETE]]</f>
        <v>2551.5200000000004</v>
      </c>
      <c r="G790" s="1">
        <v>4027.86</v>
      </c>
      <c r="H790" s="1">
        <f>Tabela1[[#This Row],[PESO UND]]/1000*(1129)</f>
        <v>67.739999999999995</v>
      </c>
      <c r="I790" s="1"/>
    </row>
    <row r="791" spans="1:9" x14ac:dyDescent="0.25">
      <c r="A791">
        <v>190</v>
      </c>
      <c r="B791" t="s">
        <v>767</v>
      </c>
      <c r="C791" t="str">
        <f t="shared" si="12"/>
        <v>119,</v>
      </c>
      <c r="D791" s="2">
        <v>73.5</v>
      </c>
      <c r="E791" s="1">
        <v>10280.33</v>
      </c>
      <c r="F791" s="1">
        <f>Tabela1[[#This Row],[PR.CUSTO+FRETE]]-Tabela1[[#This Row],[FRETE]]</f>
        <v>10197.3485</v>
      </c>
      <c r="G791" s="1">
        <v>16097.25</v>
      </c>
      <c r="H791" s="1">
        <f>Tabela1[[#This Row],[PESO UND]]/1000*(1129)</f>
        <v>82.981499999999997</v>
      </c>
      <c r="I791" s="1"/>
    </row>
    <row r="792" spans="1:9" x14ac:dyDescent="0.25">
      <c r="A792">
        <v>189</v>
      </c>
      <c r="B792" t="s">
        <v>768</v>
      </c>
      <c r="C792" t="str">
        <f t="shared" si="12"/>
        <v>119,</v>
      </c>
      <c r="D792" s="2">
        <v>646.29999999999995</v>
      </c>
      <c r="E792" s="1">
        <v>13498.25</v>
      </c>
      <c r="F792" s="1">
        <f>Tabela1[[#This Row],[PR.CUSTO+FRETE]]-Tabela1[[#This Row],[FRETE]]</f>
        <v>12768.577300000001</v>
      </c>
      <c r="G792" s="1">
        <v>20025.12</v>
      </c>
      <c r="H792" s="1">
        <f>Tabela1[[#This Row],[PESO UND]]/1000*(1129)</f>
        <v>729.67269999999996</v>
      </c>
      <c r="I792" s="1"/>
    </row>
    <row r="793" spans="1:9" x14ac:dyDescent="0.25">
      <c r="A793">
        <v>188</v>
      </c>
      <c r="B793" t="s">
        <v>769</v>
      </c>
      <c r="C793" t="str">
        <f t="shared" si="12"/>
        <v>119,</v>
      </c>
      <c r="D793" s="2">
        <v>719.8</v>
      </c>
      <c r="E793" s="1">
        <v>13043.22</v>
      </c>
      <c r="F793" s="1">
        <f>Tabela1[[#This Row],[PR.CUSTO+FRETE]]-Tabela1[[#This Row],[FRETE]]</f>
        <v>12230.5658</v>
      </c>
      <c r="G793" s="1">
        <v>19306.830000000002</v>
      </c>
      <c r="H793" s="1">
        <f>Tabela1[[#This Row],[PESO UND]]/1000*(1129)</f>
        <v>812.65419999999995</v>
      </c>
      <c r="I793" s="1"/>
    </row>
    <row r="794" spans="1:9" x14ac:dyDescent="0.25">
      <c r="A794">
        <v>182</v>
      </c>
      <c r="B794" t="s">
        <v>770</v>
      </c>
      <c r="C794" t="str">
        <f t="shared" si="12"/>
        <v>130,</v>
      </c>
      <c r="D794" s="2">
        <v>12540.07</v>
      </c>
      <c r="E794" s="1">
        <v>67069.59</v>
      </c>
      <c r="F794" s="1">
        <f>Tabela1[[#This Row],[PR.CUSTO+FRETE]]-Tabela1[[#This Row],[FRETE]]</f>
        <v>52911.85097</v>
      </c>
      <c r="G794" s="1">
        <v>112000.78</v>
      </c>
      <c r="H794" s="1">
        <f>Tabela1[[#This Row],[PESO UND]]/1000*(1129)</f>
        <v>14157.739030000001</v>
      </c>
      <c r="I794" s="1"/>
    </row>
    <row r="795" spans="1:9" x14ac:dyDescent="0.25">
      <c r="A795">
        <v>185</v>
      </c>
      <c r="B795" t="s">
        <v>771</v>
      </c>
      <c r="C795" t="str">
        <f t="shared" si="12"/>
        <v>130,</v>
      </c>
      <c r="D795" s="2">
        <v>86.25</v>
      </c>
      <c r="E795" s="1">
        <v>3765.19</v>
      </c>
      <c r="F795" s="1">
        <f>Tabela1[[#This Row],[PR.CUSTO+FRETE]]-Tabela1[[#This Row],[FRETE]]</f>
        <v>3667.8137500000003</v>
      </c>
      <c r="G795" s="1">
        <v>5790.05</v>
      </c>
      <c r="H795" s="1">
        <f>Tabela1[[#This Row],[PESO UND]]/1000*(1129)</f>
        <v>97.376249999999999</v>
      </c>
      <c r="I795" s="1"/>
    </row>
    <row r="796" spans="1:9" x14ac:dyDescent="0.25">
      <c r="A796">
        <v>184</v>
      </c>
      <c r="B796" t="s">
        <v>772</v>
      </c>
      <c r="C796" t="str">
        <f t="shared" si="12"/>
        <v>130,</v>
      </c>
      <c r="D796" s="2">
        <v>914.5</v>
      </c>
      <c r="E796" s="1">
        <v>18938.97</v>
      </c>
      <c r="F796" s="1">
        <f>Tabela1[[#This Row],[PR.CUSTO+FRETE]]-Tabela1[[#This Row],[FRETE]]</f>
        <v>17906.499500000002</v>
      </c>
      <c r="G796" s="1">
        <v>28097.37</v>
      </c>
      <c r="H796" s="1">
        <f>Tabela1[[#This Row],[PESO UND]]/1000*(1129)</f>
        <v>1032.4704999999999</v>
      </c>
      <c r="I796" s="1"/>
    </row>
    <row r="797" spans="1:9" x14ac:dyDescent="0.25">
      <c r="A797">
        <v>183</v>
      </c>
      <c r="B797" t="s">
        <v>773</v>
      </c>
      <c r="C797" t="str">
        <f t="shared" si="12"/>
        <v>130,</v>
      </c>
      <c r="D797" s="2">
        <v>914.5</v>
      </c>
      <c r="E797" s="1">
        <v>18294.830000000002</v>
      </c>
      <c r="F797" s="1">
        <f>Tabela1[[#This Row],[PR.CUSTO+FRETE]]-Tabela1[[#This Row],[FRETE]]</f>
        <v>17262.359500000002</v>
      </c>
      <c r="G797" s="1">
        <v>27080.55</v>
      </c>
      <c r="H797" s="1">
        <f>Tabela1[[#This Row],[PESO UND]]/1000*(1129)</f>
        <v>1032.4704999999999</v>
      </c>
      <c r="I797" s="1"/>
    </row>
    <row r="798" spans="1:9" x14ac:dyDescent="0.25">
      <c r="A798">
        <v>290</v>
      </c>
      <c r="B798" t="s">
        <v>774</v>
      </c>
      <c r="C798" t="str">
        <f t="shared" si="12"/>
        <v>138,</v>
      </c>
      <c r="D798" s="2">
        <v>11766.34</v>
      </c>
      <c r="E798" s="1">
        <v>71089.539999999994</v>
      </c>
      <c r="F798" s="1">
        <f>Tabela1[[#This Row],[PR.CUSTO+FRETE]]-Tabela1[[#This Row],[FRETE]]</f>
        <v>57805.342139999993</v>
      </c>
      <c r="G798" s="1">
        <v>120991.17</v>
      </c>
      <c r="H798" s="1">
        <f>Tabela1[[#This Row],[PESO UND]]/1000*(1129)</f>
        <v>13284.19786</v>
      </c>
      <c r="I798" s="1"/>
    </row>
    <row r="799" spans="1:9" x14ac:dyDescent="0.25">
      <c r="A799">
        <v>293</v>
      </c>
      <c r="B799" t="s">
        <v>775</v>
      </c>
      <c r="C799" t="str">
        <f t="shared" si="12"/>
        <v>138,</v>
      </c>
      <c r="D799" s="2">
        <v>726</v>
      </c>
      <c r="E799" s="1">
        <v>4728.3999999999996</v>
      </c>
      <c r="F799" s="1">
        <f>Tabela1[[#This Row],[PR.CUSTO+FRETE]]-Tabela1[[#This Row],[FRETE]]</f>
        <v>3908.7459999999996</v>
      </c>
      <c r="G799" s="1">
        <v>7803.75</v>
      </c>
      <c r="H799" s="1">
        <f>Tabela1[[#This Row],[PESO UND]]/1000*(1129)</f>
        <v>819.654</v>
      </c>
      <c r="I799" s="1"/>
    </row>
    <row r="800" spans="1:9" x14ac:dyDescent="0.25">
      <c r="A800">
        <v>292</v>
      </c>
      <c r="B800" t="s">
        <v>776</v>
      </c>
      <c r="C800" t="str">
        <f t="shared" si="12"/>
        <v>138,</v>
      </c>
      <c r="D800" s="2">
        <v>86.25</v>
      </c>
      <c r="E800" s="1">
        <v>3765.19</v>
      </c>
      <c r="F800" s="1">
        <f>Tabela1[[#This Row],[PR.CUSTO+FRETE]]-Tabela1[[#This Row],[FRETE]]</f>
        <v>3667.8137500000003</v>
      </c>
      <c r="G800" s="1">
        <v>5790.05</v>
      </c>
      <c r="H800" s="1">
        <f>Tabela1[[#This Row],[PESO UND]]/1000*(1129)</f>
        <v>97.376249999999999</v>
      </c>
      <c r="I800" s="1"/>
    </row>
    <row r="801" spans="1:9" x14ac:dyDescent="0.25">
      <c r="A801">
        <v>294</v>
      </c>
      <c r="B801" t="s">
        <v>777</v>
      </c>
      <c r="C801" t="str">
        <f t="shared" si="12"/>
        <v>138,</v>
      </c>
      <c r="D801" s="2">
        <v>740.8</v>
      </c>
      <c r="E801" s="1">
        <v>13793.6</v>
      </c>
      <c r="F801" s="1">
        <f>Tabela1[[#This Row],[PR.CUSTO+FRETE]]-Tabela1[[#This Row],[FRETE]]</f>
        <v>12957.236800000001</v>
      </c>
      <c r="G801" s="1">
        <v>20453.919999999998</v>
      </c>
      <c r="H801" s="1">
        <f>Tabela1[[#This Row],[PESO UND]]/1000*(1129)</f>
        <v>836.36319999999989</v>
      </c>
      <c r="I801" s="1"/>
    </row>
    <row r="802" spans="1:9" x14ac:dyDescent="0.25">
      <c r="A802">
        <v>291</v>
      </c>
      <c r="B802" t="s">
        <v>778</v>
      </c>
      <c r="C802" t="str">
        <f t="shared" si="12"/>
        <v>138,</v>
      </c>
      <c r="D802" s="2">
        <v>740.8</v>
      </c>
      <c r="E802" s="1">
        <v>13272.03</v>
      </c>
      <c r="F802" s="1">
        <f>Tabela1[[#This Row],[PR.CUSTO+FRETE]]-Tabela1[[#This Row],[FRETE]]</f>
        <v>12435.666800000001</v>
      </c>
      <c r="G802" s="1">
        <v>19630.560000000001</v>
      </c>
      <c r="H802" s="1">
        <f>Tabela1[[#This Row],[PESO UND]]/1000*(1129)</f>
        <v>836.36319999999989</v>
      </c>
      <c r="I802" s="1"/>
    </row>
    <row r="803" spans="1:9" x14ac:dyDescent="0.25">
      <c r="A803">
        <v>494</v>
      </c>
      <c r="B803" t="s">
        <v>779</v>
      </c>
      <c r="C803" t="str">
        <f t="shared" si="12"/>
        <v>137,</v>
      </c>
      <c r="D803" s="2">
        <v>12754.03</v>
      </c>
      <c r="E803" s="1">
        <v>71141.48</v>
      </c>
      <c r="F803" s="1">
        <f>Tabela1[[#This Row],[PR.CUSTO+FRETE]]-Tabela1[[#This Row],[FRETE]]</f>
        <v>56742.180129999993</v>
      </c>
      <c r="G803" s="1">
        <v>115623.78</v>
      </c>
      <c r="H803" s="1">
        <f>Tabela1[[#This Row],[PESO UND]]/1000*(1129)</f>
        <v>14399.299870000001</v>
      </c>
      <c r="I803" s="1"/>
    </row>
    <row r="804" spans="1:9" x14ac:dyDescent="0.25">
      <c r="A804">
        <v>498</v>
      </c>
      <c r="B804" t="s">
        <v>780</v>
      </c>
      <c r="C804" t="str">
        <f t="shared" si="12"/>
        <v>137,</v>
      </c>
      <c r="D804" s="2">
        <v>2506</v>
      </c>
      <c r="E804" s="1">
        <v>13062.35</v>
      </c>
      <c r="F804" s="1">
        <f>Tabela1[[#This Row],[PR.CUSTO+FRETE]]-Tabela1[[#This Row],[FRETE]]</f>
        <v>10233.076000000001</v>
      </c>
      <c r="G804" s="1">
        <v>21856.41</v>
      </c>
      <c r="H804" s="1">
        <f>Tabela1[[#This Row],[PESO UND]]/1000*(1129)</f>
        <v>2829.2739999999999</v>
      </c>
      <c r="I804" s="1"/>
    </row>
    <row r="805" spans="1:9" x14ac:dyDescent="0.25">
      <c r="A805">
        <v>497</v>
      </c>
      <c r="B805" t="s">
        <v>781</v>
      </c>
      <c r="C805" t="str">
        <f t="shared" si="12"/>
        <v>137,</v>
      </c>
      <c r="D805" s="2">
        <v>93.75</v>
      </c>
      <c r="E805" s="1">
        <v>4092.59</v>
      </c>
      <c r="F805" s="1">
        <f>Tabela1[[#This Row],[PR.CUSTO+FRETE]]-Tabela1[[#This Row],[FRETE]]</f>
        <v>3986.7462500000001</v>
      </c>
      <c r="G805" s="1">
        <v>6293.53</v>
      </c>
      <c r="H805" s="1">
        <f>Tabela1[[#This Row],[PESO UND]]/1000*(1129)</f>
        <v>105.84375</v>
      </c>
      <c r="I805" s="1"/>
    </row>
    <row r="806" spans="1:9" x14ac:dyDescent="0.25">
      <c r="A806">
        <v>496</v>
      </c>
      <c r="B806" t="s">
        <v>782</v>
      </c>
      <c r="C806" t="str">
        <f t="shared" si="12"/>
        <v>137,</v>
      </c>
      <c r="D806" s="2">
        <v>478.3</v>
      </c>
      <c r="E806" s="1">
        <v>8954.7099999999991</v>
      </c>
      <c r="F806" s="1">
        <f>Tabela1[[#This Row],[PR.CUSTO+FRETE]]-Tabela1[[#This Row],[FRETE]]</f>
        <v>8414.7092999999986</v>
      </c>
      <c r="G806" s="1">
        <v>13283.23</v>
      </c>
      <c r="H806" s="1">
        <f>Tabela1[[#This Row],[PESO UND]]/1000*(1129)</f>
        <v>540.00070000000005</v>
      </c>
      <c r="I806" s="1"/>
    </row>
    <row r="807" spans="1:9" x14ac:dyDescent="0.25">
      <c r="A807">
        <v>495</v>
      </c>
      <c r="B807" t="s">
        <v>783</v>
      </c>
      <c r="C807" t="str">
        <f t="shared" si="12"/>
        <v>137,</v>
      </c>
      <c r="D807" s="2">
        <v>478.3</v>
      </c>
      <c r="E807" s="1">
        <v>8616.74</v>
      </c>
      <c r="F807" s="1">
        <f>Tabela1[[#This Row],[PR.CUSTO+FRETE]]-Tabela1[[#This Row],[FRETE]]</f>
        <v>8076.7392999999993</v>
      </c>
      <c r="G807" s="1">
        <v>12749.68</v>
      </c>
      <c r="H807" s="1">
        <f>Tabela1[[#This Row],[PESO UND]]/1000*(1129)</f>
        <v>540.00070000000005</v>
      </c>
      <c r="I807" s="1"/>
    </row>
    <row r="808" spans="1:9" x14ac:dyDescent="0.25">
      <c r="A808">
        <v>1071</v>
      </c>
      <c r="B808" t="s">
        <v>784</v>
      </c>
      <c r="C808" t="str">
        <f t="shared" si="12"/>
        <v>11,8</v>
      </c>
      <c r="D808" s="2">
        <v>1229.5</v>
      </c>
      <c r="E808" s="1">
        <v>4986.57</v>
      </c>
      <c r="F808" s="1">
        <f>Tabela1[[#This Row],[PR.CUSTO+FRETE]]-Tabela1[[#This Row],[FRETE]]</f>
        <v>3598.4644999999996</v>
      </c>
      <c r="G808" s="1">
        <v>7952.25</v>
      </c>
      <c r="H808" s="1">
        <f>Tabela1[[#This Row],[PESO UND]]/1000*(1129)</f>
        <v>1388.1055000000001</v>
      </c>
      <c r="I808" s="1"/>
    </row>
    <row r="809" spans="1:9" x14ac:dyDescent="0.25">
      <c r="A809">
        <v>1072</v>
      </c>
      <c r="B809" t="s">
        <v>785</v>
      </c>
      <c r="C809" t="str">
        <f t="shared" si="12"/>
        <v>11,8</v>
      </c>
      <c r="D809" s="2">
        <v>18.75</v>
      </c>
      <c r="E809" s="1">
        <v>818.52</v>
      </c>
      <c r="F809" s="1">
        <f>Tabela1[[#This Row],[PR.CUSTO+FRETE]]-Tabela1[[#This Row],[FRETE]]</f>
        <v>797.35124999999994</v>
      </c>
      <c r="G809" s="1">
        <v>1258.71</v>
      </c>
      <c r="H809" s="1">
        <f>Tabela1[[#This Row],[PESO UND]]/1000*(1129)</f>
        <v>21.168749999999999</v>
      </c>
      <c r="I809" s="1"/>
    </row>
    <row r="810" spans="1:9" x14ac:dyDescent="0.25">
      <c r="A810">
        <v>1216</v>
      </c>
      <c r="B810" t="s">
        <v>786</v>
      </c>
      <c r="C810" t="str">
        <f t="shared" si="12"/>
        <v>6,00</v>
      </c>
      <c r="D810" s="2">
        <v>1491.22</v>
      </c>
      <c r="E810" s="1">
        <v>7920.62</v>
      </c>
      <c r="F810" s="1">
        <f>Tabela1[[#This Row],[PR.CUSTO+FRETE]]-Tabela1[[#This Row],[FRETE]]</f>
        <v>6237.03262</v>
      </c>
      <c r="G810" s="1">
        <v>13058.27</v>
      </c>
      <c r="H810" s="1">
        <f>Tabela1[[#This Row],[PESO UND]]/1000*(1129)</f>
        <v>1683.5873799999999</v>
      </c>
      <c r="I810" s="1"/>
    </row>
    <row r="811" spans="1:9" x14ac:dyDescent="0.25">
      <c r="A811">
        <v>1219</v>
      </c>
      <c r="B811" t="s">
        <v>787</v>
      </c>
      <c r="C811" t="str">
        <f t="shared" si="12"/>
        <v>6,00</v>
      </c>
      <c r="D811" s="2">
        <v>14.4</v>
      </c>
      <c r="E811" s="1">
        <v>695.02</v>
      </c>
      <c r="F811" s="1">
        <f>Tabela1[[#This Row],[PR.CUSTO+FRETE]]-Tabela1[[#This Row],[FRETE]]</f>
        <v>678.76239999999996</v>
      </c>
      <c r="G811" s="1">
        <v>1071.5</v>
      </c>
      <c r="H811" s="1">
        <f>Tabela1[[#This Row],[PESO UND]]/1000*(1129)</f>
        <v>16.2576</v>
      </c>
      <c r="I811" s="1"/>
    </row>
    <row r="812" spans="1:9" x14ac:dyDescent="0.25">
      <c r="A812">
        <v>1218</v>
      </c>
      <c r="B812" t="s">
        <v>788</v>
      </c>
      <c r="C812" t="str">
        <f t="shared" si="12"/>
        <v>6,00</v>
      </c>
      <c r="D812" s="2">
        <v>89.3</v>
      </c>
      <c r="E812" s="1">
        <v>1705.37</v>
      </c>
      <c r="F812" s="1">
        <f>Tabela1[[#This Row],[PR.CUSTO+FRETE]]-Tabela1[[#This Row],[FRETE]]</f>
        <v>1604.5502999999999</v>
      </c>
      <c r="G812" s="1">
        <v>2532.91</v>
      </c>
      <c r="H812" s="1">
        <f>Tabela1[[#This Row],[PESO UND]]/1000*(1129)</f>
        <v>100.81969999999998</v>
      </c>
      <c r="I812" s="1"/>
    </row>
    <row r="813" spans="1:9" x14ac:dyDescent="0.25">
      <c r="A813">
        <v>1217</v>
      </c>
      <c r="B813" t="s">
        <v>789</v>
      </c>
      <c r="C813" t="str">
        <f t="shared" si="12"/>
        <v>6,00</v>
      </c>
      <c r="D813" s="2">
        <v>89.3</v>
      </c>
      <c r="E813" s="1">
        <v>1649.68</v>
      </c>
      <c r="F813" s="1">
        <f>Tabela1[[#This Row],[PR.CUSTO+FRETE]]-Tabela1[[#This Row],[FRETE]]</f>
        <v>1548.8603000000001</v>
      </c>
      <c r="G813" s="1">
        <v>2444.9899999999998</v>
      </c>
      <c r="H813" s="1">
        <f>Tabela1[[#This Row],[PESO UND]]/1000*(1129)</f>
        <v>100.81969999999998</v>
      </c>
      <c r="I813" s="1"/>
    </row>
    <row r="814" spans="1:9" x14ac:dyDescent="0.25">
      <c r="A814">
        <v>970</v>
      </c>
      <c r="B814" t="s">
        <v>790</v>
      </c>
      <c r="C814" t="str">
        <f t="shared" si="12"/>
        <v>83,5</v>
      </c>
      <c r="D814" s="2">
        <v>93.75</v>
      </c>
      <c r="E814" s="1">
        <v>4092.59</v>
      </c>
      <c r="F814" s="1">
        <f>Tabela1[[#This Row],[PR.CUSTO+FRETE]]-Tabela1[[#This Row],[FRETE]]</f>
        <v>3986.7462500000001</v>
      </c>
      <c r="G814" s="1">
        <v>6293.53</v>
      </c>
      <c r="H814" s="1">
        <f>Tabela1[[#This Row],[PESO UND]]/1000*(1129)</f>
        <v>105.84375</v>
      </c>
      <c r="I814" s="1"/>
    </row>
    <row r="815" spans="1:9" x14ac:dyDescent="0.25">
      <c r="A815">
        <v>967</v>
      </c>
      <c r="B815" t="s">
        <v>791</v>
      </c>
      <c r="C815" t="str">
        <f t="shared" si="12"/>
        <v>83,5</v>
      </c>
      <c r="D815" s="2">
        <v>8651.08</v>
      </c>
      <c r="E815" s="1">
        <v>43329.47</v>
      </c>
      <c r="F815" s="1">
        <f>Tabela1[[#This Row],[PR.CUSTO+FRETE]]-Tabela1[[#This Row],[FRETE]]</f>
        <v>33562.400679999999</v>
      </c>
      <c r="G815" s="1">
        <v>72123.320000000007</v>
      </c>
      <c r="H815" s="1">
        <f>Tabela1[[#This Row],[PESO UND]]/1000*(1129)</f>
        <v>9767.0693200000005</v>
      </c>
      <c r="I815" s="1"/>
    </row>
    <row r="816" spans="1:9" x14ac:dyDescent="0.25">
      <c r="A816">
        <v>971</v>
      </c>
      <c r="B816" t="s">
        <v>792</v>
      </c>
      <c r="C816" t="str">
        <f t="shared" si="12"/>
        <v>83,5</v>
      </c>
      <c r="D816" s="2">
        <v>1302.45</v>
      </c>
      <c r="E816" s="1">
        <v>7279.21</v>
      </c>
      <c r="F816" s="1">
        <f>Tabela1[[#This Row],[PR.CUSTO+FRETE]]-Tabela1[[#This Row],[FRETE]]</f>
        <v>5808.74395</v>
      </c>
      <c r="G816" s="1">
        <v>12609.26</v>
      </c>
      <c r="H816" s="1">
        <f>Tabela1[[#This Row],[PESO UND]]/1000*(1129)</f>
        <v>1470.4660500000002</v>
      </c>
      <c r="I816" s="1"/>
    </row>
    <row r="817" spans="1:9" x14ac:dyDescent="0.25">
      <c r="A817">
        <v>969</v>
      </c>
      <c r="B817" t="s">
        <v>793</v>
      </c>
      <c r="C817" t="str">
        <f t="shared" si="12"/>
        <v>83,5</v>
      </c>
      <c r="D817" s="2">
        <v>344.4</v>
      </c>
      <c r="E817" s="1">
        <v>7332.51</v>
      </c>
      <c r="F817" s="1">
        <f>Tabela1[[#This Row],[PR.CUSTO+FRETE]]-Tabela1[[#This Row],[FRETE]]</f>
        <v>6943.6824000000006</v>
      </c>
      <c r="G817" s="1">
        <v>10880.87</v>
      </c>
      <c r="H817" s="1">
        <f>Tabela1[[#This Row],[PESO UND]]/1000*(1129)</f>
        <v>388.82759999999996</v>
      </c>
      <c r="I817" s="1"/>
    </row>
    <row r="818" spans="1:9" x14ac:dyDescent="0.25">
      <c r="A818">
        <v>968</v>
      </c>
      <c r="B818" t="s">
        <v>794</v>
      </c>
      <c r="C818" t="str">
        <f t="shared" si="12"/>
        <v>83,5</v>
      </c>
      <c r="D818" s="2">
        <v>344.4</v>
      </c>
      <c r="E818" s="1">
        <v>7089.69</v>
      </c>
      <c r="F818" s="1">
        <f>Tabela1[[#This Row],[PR.CUSTO+FRETE]]-Tabela1[[#This Row],[FRETE]]</f>
        <v>6700.8624</v>
      </c>
      <c r="G818" s="1">
        <v>10497.56</v>
      </c>
      <c r="H818" s="1">
        <f>Tabela1[[#This Row],[PESO UND]]/1000*(1129)</f>
        <v>388.82759999999996</v>
      </c>
      <c r="I818" s="1"/>
    </row>
    <row r="819" spans="1:9" x14ac:dyDescent="0.25">
      <c r="A819">
        <v>1062</v>
      </c>
      <c r="B819" t="s">
        <v>795</v>
      </c>
      <c r="C819" t="str">
        <f t="shared" si="12"/>
        <v>52,0</v>
      </c>
      <c r="D819" s="2">
        <v>6118.42</v>
      </c>
      <c r="E819" s="1">
        <v>35519.019999999997</v>
      </c>
      <c r="F819" s="1">
        <f>Tabela1[[#This Row],[PR.CUSTO+FRETE]]-Tabela1[[#This Row],[FRETE]]</f>
        <v>28611.323819999998</v>
      </c>
      <c r="G819" s="1">
        <v>58533.73</v>
      </c>
      <c r="H819" s="1">
        <f>Tabela1[[#This Row],[PESO UND]]/1000*(1129)</f>
        <v>6907.6961800000008</v>
      </c>
      <c r="I819" s="1"/>
    </row>
    <row r="820" spans="1:9" x14ac:dyDescent="0.25">
      <c r="A820">
        <v>1070</v>
      </c>
      <c r="B820" t="s">
        <v>796</v>
      </c>
      <c r="C820" t="str">
        <f t="shared" si="12"/>
        <v>52,0</v>
      </c>
      <c r="D820" s="2">
        <v>748</v>
      </c>
      <c r="E820" s="1">
        <v>4137.38</v>
      </c>
      <c r="F820" s="1">
        <f>Tabela1[[#This Row],[PR.CUSTO+FRETE]]-Tabela1[[#This Row],[FRETE]]</f>
        <v>3292.8879999999999</v>
      </c>
      <c r="G820" s="1">
        <v>6973.79</v>
      </c>
      <c r="H820" s="1">
        <f>Tabela1[[#This Row],[PESO UND]]/1000*(1129)</f>
        <v>844.49199999999996</v>
      </c>
      <c r="I820" s="1"/>
    </row>
    <row r="821" spans="1:9" x14ac:dyDescent="0.25">
      <c r="A821">
        <v>1069</v>
      </c>
      <c r="B821" t="s">
        <v>797</v>
      </c>
      <c r="C821" t="str">
        <f t="shared" si="12"/>
        <v>52,0</v>
      </c>
      <c r="D821" s="2">
        <v>82.5</v>
      </c>
      <c r="E821" s="1">
        <v>3601.48</v>
      </c>
      <c r="F821" s="1">
        <f>Tabela1[[#This Row],[PR.CUSTO+FRETE]]-Tabela1[[#This Row],[FRETE]]</f>
        <v>3508.3375000000001</v>
      </c>
      <c r="G821" s="1">
        <v>5538.3</v>
      </c>
      <c r="H821" s="1">
        <f>Tabela1[[#This Row],[PESO UND]]/1000*(1129)</f>
        <v>93.142499999999998</v>
      </c>
      <c r="I821" s="1"/>
    </row>
    <row r="822" spans="1:9" x14ac:dyDescent="0.25">
      <c r="A822">
        <v>1068</v>
      </c>
      <c r="B822" t="s">
        <v>798</v>
      </c>
      <c r="C822" t="str">
        <f t="shared" si="12"/>
        <v>52,0</v>
      </c>
      <c r="D822" s="2">
        <v>395.9</v>
      </c>
      <c r="E822" s="1">
        <v>7332.77</v>
      </c>
      <c r="F822" s="1">
        <f>Tabela1[[#This Row],[PR.CUSTO+FRETE]]-Tabela1[[#This Row],[FRETE]]</f>
        <v>6885.7989000000007</v>
      </c>
      <c r="G822" s="1">
        <v>10883.64</v>
      </c>
      <c r="H822" s="1">
        <f>Tabela1[[#This Row],[PESO UND]]/1000*(1129)</f>
        <v>446.97109999999998</v>
      </c>
      <c r="I822" s="1"/>
    </row>
    <row r="823" spans="1:9" x14ac:dyDescent="0.25">
      <c r="A823">
        <v>1067</v>
      </c>
      <c r="B823" t="s">
        <v>799</v>
      </c>
      <c r="C823" t="str">
        <f t="shared" si="12"/>
        <v>52,0</v>
      </c>
      <c r="D823" s="2">
        <v>394.1</v>
      </c>
      <c r="E823" s="1">
        <v>7176.09</v>
      </c>
      <c r="F823" s="1">
        <f>Tabela1[[#This Row],[PR.CUSTO+FRETE]]-Tabela1[[#This Row],[FRETE]]</f>
        <v>6731.1511</v>
      </c>
      <c r="G823" s="1">
        <v>10625.59</v>
      </c>
      <c r="H823" s="1">
        <f>Tabela1[[#This Row],[PESO UND]]/1000*(1129)</f>
        <v>444.93889999999999</v>
      </c>
      <c r="I823" s="1"/>
    </row>
    <row r="824" spans="1:9" x14ac:dyDescent="0.25">
      <c r="A824">
        <v>514</v>
      </c>
      <c r="B824" t="s">
        <v>800</v>
      </c>
      <c r="C824" t="str">
        <f t="shared" si="12"/>
        <v>153M</v>
      </c>
      <c r="D824" s="2">
        <v>13961.22</v>
      </c>
      <c r="E824" s="1">
        <v>75816.399999999994</v>
      </c>
      <c r="F824" s="1">
        <f>Tabela1[[#This Row],[PR.CUSTO+FRETE]]-Tabela1[[#This Row],[FRETE]]</f>
        <v>60054.182619999992</v>
      </c>
      <c r="G824" s="1">
        <v>123481.65</v>
      </c>
      <c r="H824" s="1">
        <f>Tabela1[[#This Row],[PESO UND]]/1000*(1129)</f>
        <v>15762.217379999998</v>
      </c>
      <c r="I824" s="1"/>
    </row>
    <row r="825" spans="1:9" x14ac:dyDescent="0.25">
      <c r="A825">
        <v>208</v>
      </c>
      <c r="B825" t="s">
        <v>801</v>
      </c>
      <c r="C825" t="str">
        <f t="shared" si="12"/>
        <v>153M</v>
      </c>
      <c r="D825" s="2">
        <v>3516.5</v>
      </c>
      <c r="E825" s="1">
        <v>18209.23</v>
      </c>
      <c r="F825" s="1">
        <f>Tabela1[[#This Row],[PR.CUSTO+FRETE]]-Tabela1[[#This Row],[FRETE]]</f>
        <v>14239.101499999999</v>
      </c>
      <c r="G825" s="1">
        <v>30482.11</v>
      </c>
      <c r="H825" s="1">
        <f>Tabela1[[#This Row],[PESO UND]]/1000*(1129)</f>
        <v>3970.1285000000003</v>
      </c>
      <c r="I825" s="1"/>
    </row>
    <row r="826" spans="1:9" x14ac:dyDescent="0.25">
      <c r="A826">
        <v>207</v>
      </c>
      <c r="B826" t="s">
        <v>802</v>
      </c>
      <c r="C826" t="str">
        <f t="shared" si="12"/>
        <v>153M</v>
      </c>
      <c r="D826" s="2">
        <v>123.75</v>
      </c>
      <c r="E826" s="1">
        <v>5402.22</v>
      </c>
      <c r="F826" s="1">
        <f>Tabela1[[#This Row],[PR.CUSTO+FRETE]]-Tabela1[[#This Row],[FRETE]]</f>
        <v>5262.5062500000004</v>
      </c>
      <c r="G826" s="1">
        <v>8307.4599999999991</v>
      </c>
      <c r="H826" s="1">
        <f>Tabela1[[#This Row],[PESO UND]]/1000*(1129)</f>
        <v>139.71375</v>
      </c>
      <c r="I826" s="1"/>
    </row>
    <row r="827" spans="1:9" x14ac:dyDescent="0.25">
      <c r="A827">
        <v>206</v>
      </c>
      <c r="B827" t="s">
        <v>803</v>
      </c>
      <c r="C827" t="str">
        <f t="shared" si="12"/>
        <v>153M</v>
      </c>
      <c r="D827" s="2">
        <v>591.6</v>
      </c>
      <c r="E827" s="1">
        <v>10988.46</v>
      </c>
      <c r="F827" s="1">
        <f>Tabela1[[#This Row],[PR.CUSTO+FRETE]]-Tabela1[[#This Row],[FRETE]]</f>
        <v>10320.543599999999</v>
      </c>
      <c r="G827" s="1">
        <v>16291.73</v>
      </c>
      <c r="H827" s="1">
        <f>Tabela1[[#This Row],[PESO UND]]/1000*(1129)</f>
        <v>667.91640000000007</v>
      </c>
      <c r="I827" s="1"/>
    </row>
    <row r="828" spans="1:9" x14ac:dyDescent="0.25">
      <c r="A828">
        <v>205</v>
      </c>
      <c r="B828" t="s">
        <v>804</v>
      </c>
      <c r="C828" t="str">
        <f t="shared" si="12"/>
        <v>153M</v>
      </c>
      <c r="D828" s="2">
        <v>591.6</v>
      </c>
      <c r="E828" s="1">
        <v>10572.61</v>
      </c>
      <c r="F828" s="1">
        <f>Tabela1[[#This Row],[PR.CUSTO+FRETE]]-Tabela1[[#This Row],[FRETE]]</f>
        <v>9904.6936000000005</v>
      </c>
      <c r="G828" s="1">
        <v>15635.27</v>
      </c>
      <c r="H828" s="1">
        <f>Tabela1[[#This Row],[PESO UND]]/1000*(1129)</f>
        <v>667.91640000000007</v>
      </c>
      <c r="I828" s="1"/>
    </row>
    <row r="829" spans="1:9" x14ac:dyDescent="0.25">
      <c r="A829">
        <v>704</v>
      </c>
      <c r="B829" t="s">
        <v>955</v>
      </c>
      <c r="C829" t="str">
        <f t="shared" si="12"/>
        <v>125,</v>
      </c>
      <c r="D829" s="2">
        <v>10054.32</v>
      </c>
      <c r="E829" s="1">
        <v>60906.91</v>
      </c>
      <c r="F829" s="1">
        <f>Tabela1[[#This Row],[PR.CUSTO+FRETE]]-Tabela1[[#This Row],[FRETE]]</f>
        <v>49555.582720000006</v>
      </c>
      <c r="G829" s="1">
        <v>101759.86</v>
      </c>
      <c r="H829" s="1">
        <f>Tabela1[[#This Row],[PESO UND]]/1000*(1129)</f>
        <v>11351.327280000001</v>
      </c>
      <c r="I829" s="1"/>
    </row>
    <row r="830" spans="1:9" x14ac:dyDescent="0.25">
      <c r="A830">
        <v>709</v>
      </c>
      <c r="B830" t="s">
        <v>805</v>
      </c>
      <c r="C830" t="str">
        <f t="shared" si="12"/>
        <v/>
      </c>
      <c r="D830" s="2">
        <v>1315.5</v>
      </c>
      <c r="E830" s="1">
        <v>9299.68</v>
      </c>
      <c r="F830" s="1">
        <f>Tabela1[[#This Row],[PR.CUSTO+FRETE]]-Tabela1[[#This Row],[FRETE]]</f>
        <v>7814.4805000000006</v>
      </c>
      <c r="G830" s="1">
        <v>16965.810000000001</v>
      </c>
      <c r="H830" s="1">
        <f>Tabela1[[#This Row],[PESO UND]]/1000*(1129)</f>
        <v>1485.1994999999999</v>
      </c>
      <c r="I830" s="1"/>
    </row>
    <row r="831" spans="1:9" x14ac:dyDescent="0.25">
      <c r="A831">
        <v>708</v>
      </c>
      <c r="B831" t="s">
        <v>806</v>
      </c>
      <c r="C831" t="str">
        <f t="shared" si="12"/>
        <v/>
      </c>
      <c r="D831" s="2">
        <v>2381.5</v>
      </c>
      <c r="E831" s="1">
        <v>12354.77</v>
      </c>
      <c r="F831" s="1">
        <f>Tabela1[[#This Row],[PR.CUSTO+FRETE]]-Tabela1[[#This Row],[FRETE]]</f>
        <v>9666.0565000000006</v>
      </c>
      <c r="G831" s="1">
        <v>20679.169999999998</v>
      </c>
      <c r="H831" s="1">
        <f>Tabela1[[#This Row],[PESO UND]]/1000*(1129)</f>
        <v>2688.7134999999998</v>
      </c>
      <c r="I831" s="1"/>
    </row>
    <row r="832" spans="1:9" x14ac:dyDescent="0.25">
      <c r="A832">
        <v>707</v>
      </c>
      <c r="B832" t="s">
        <v>807</v>
      </c>
      <c r="C832" t="str">
        <f t="shared" si="12"/>
        <v/>
      </c>
      <c r="D832" s="2">
        <v>82.5</v>
      </c>
      <c r="E832" s="1">
        <v>3601.48</v>
      </c>
      <c r="F832" s="1">
        <f>Tabela1[[#This Row],[PR.CUSTO+FRETE]]-Tabela1[[#This Row],[FRETE]]</f>
        <v>3508.3375000000001</v>
      </c>
      <c r="G832" s="1">
        <v>5538.3</v>
      </c>
      <c r="H832" s="1">
        <f>Tabela1[[#This Row],[PESO UND]]/1000*(1129)</f>
        <v>93.142499999999998</v>
      </c>
      <c r="I832" s="1"/>
    </row>
    <row r="833" spans="1:9" x14ac:dyDescent="0.25">
      <c r="A833">
        <v>706</v>
      </c>
      <c r="B833" t="s">
        <v>808</v>
      </c>
      <c r="C833" t="str">
        <f t="shared" si="12"/>
        <v/>
      </c>
      <c r="D833" s="2">
        <v>475.5</v>
      </c>
      <c r="E833" s="1">
        <v>8865.11</v>
      </c>
      <c r="F833" s="1">
        <f>Tabela1[[#This Row],[PR.CUSTO+FRETE]]-Tabela1[[#This Row],[FRETE]]</f>
        <v>8328.2705000000005</v>
      </c>
      <c r="G833" s="1">
        <v>13146.76</v>
      </c>
      <c r="H833" s="1">
        <f>Tabela1[[#This Row],[PESO UND]]/1000*(1129)</f>
        <v>536.83949999999993</v>
      </c>
      <c r="I833" s="1"/>
    </row>
    <row r="834" spans="1:9" x14ac:dyDescent="0.25">
      <c r="A834">
        <v>705</v>
      </c>
      <c r="B834" t="s">
        <v>809</v>
      </c>
      <c r="C834" t="str">
        <f t="shared" ref="C834:C897" si="13">IFERROR(MID(B834,FIND("(",B834)+1,4),"")</f>
        <v/>
      </c>
      <c r="D834" s="2">
        <v>475.5</v>
      </c>
      <c r="E834" s="1">
        <v>8530.0300000000007</v>
      </c>
      <c r="F834" s="1">
        <f>Tabela1[[#This Row],[PR.CUSTO+FRETE]]-Tabela1[[#This Row],[FRETE]]</f>
        <v>7993.1905000000006</v>
      </c>
      <c r="G834" s="1">
        <v>12617.83</v>
      </c>
      <c r="H834" s="1">
        <f>Tabela1[[#This Row],[PESO UND]]/1000*(1129)</f>
        <v>536.83949999999993</v>
      </c>
      <c r="I834" s="1"/>
    </row>
    <row r="835" spans="1:9" x14ac:dyDescent="0.25">
      <c r="A835">
        <v>469</v>
      </c>
      <c r="B835" t="s">
        <v>810</v>
      </c>
      <c r="C835" t="str">
        <f t="shared" si="13"/>
        <v>207,</v>
      </c>
      <c r="D835" s="2">
        <v>19367.43</v>
      </c>
      <c r="E835" s="1">
        <v>99943.81</v>
      </c>
      <c r="F835" s="1">
        <f>Tabela1[[#This Row],[PR.CUSTO+FRETE]]-Tabela1[[#This Row],[FRETE]]</f>
        <v>78077.98152999999</v>
      </c>
      <c r="G835" s="1">
        <v>163650.02999999991</v>
      </c>
      <c r="H835" s="1">
        <f>Tabela1[[#This Row],[PESO UND]]/1000*(1129)</f>
        <v>21865.82847</v>
      </c>
      <c r="I835" s="1"/>
    </row>
    <row r="836" spans="1:9" x14ac:dyDescent="0.25">
      <c r="A836">
        <v>473</v>
      </c>
      <c r="B836" t="s">
        <v>811</v>
      </c>
      <c r="C836" t="str">
        <f t="shared" si="13"/>
        <v>207,</v>
      </c>
      <c r="D836" s="2">
        <v>3654</v>
      </c>
      <c r="E836" s="1">
        <v>18978.53</v>
      </c>
      <c r="F836" s="1">
        <f>Tabela1[[#This Row],[PR.CUSTO+FRETE]]-Tabela1[[#This Row],[FRETE]]</f>
        <v>14853.163999999999</v>
      </c>
      <c r="G836" s="1">
        <v>31763.31</v>
      </c>
      <c r="H836" s="1">
        <f>Tabela1[[#This Row],[PESO UND]]/1000*(1129)</f>
        <v>4125.366</v>
      </c>
      <c r="I836" s="1"/>
    </row>
    <row r="837" spans="1:9" x14ac:dyDescent="0.25">
      <c r="A837">
        <v>472</v>
      </c>
      <c r="B837" t="s">
        <v>812</v>
      </c>
      <c r="C837" t="str">
        <f t="shared" si="13"/>
        <v>207,</v>
      </c>
      <c r="D837" s="2">
        <v>112.5</v>
      </c>
      <c r="E837" s="1">
        <v>4911.1099999999997</v>
      </c>
      <c r="F837" s="1">
        <f>Tabela1[[#This Row],[PR.CUSTO+FRETE]]-Tabela1[[#This Row],[FRETE]]</f>
        <v>4784.0974999999999</v>
      </c>
      <c r="G837" s="1">
        <v>7552.23</v>
      </c>
      <c r="H837" s="1">
        <f>Tabela1[[#This Row],[PESO UND]]/1000*(1129)</f>
        <v>127.0125</v>
      </c>
      <c r="I837" s="1"/>
    </row>
    <row r="838" spans="1:9" x14ac:dyDescent="0.25">
      <c r="A838">
        <v>471</v>
      </c>
      <c r="B838" t="s">
        <v>813</v>
      </c>
      <c r="C838" t="str">
        <f t="shared" si="13"/>
        <v>207,</v>
      </c>
      <c r="D838" s="2">
        <v>396.3</v>
      </c>
      <c r="E838" s="1">
        <v>7380.97</v>
      </c>
      <c r="F838" s="1">
        <f>Tabela1[[#This Row],[PR.CUSTO+FRETE]]-Tabela1[[#This Row],[FRETE]]</f>
        <v>6933.5473000000002</v>
      </c>
      <c r="G838" s="1">
        <v>10945.12</v>
      </c>
      <c r="H838" s="1">
        <f>Tabela1[[#This Row],[PESO UND]]/1000*(1129)</f>
        <v>447.42269999999996</v>
      </c>
      <c r="I838" s="1"/>
    </row>
    <row r="839" spans="1:9" x14ac:dyDescent="0.25">
      <c r="A839">
        <v>470</v>
      </c>
      <c r="B839" t="s">
        <v>814</v>
      </c>
      <c r="C839" t="str">
        <f t="shared" si="13"/>
        <v>207,</v>
      </c>
      <c r="D839" s="2">
        <v>396.3</v>
      </c>
      <c r="E839" s="1">
        <v>7101.91</v>
      </c>
      <c r="F839" s="1">
        <f>Tabela1[[#This Row],[PR.CUSTO+FRETE]]-Tabela1[[#This Row],[FRETE]]</f>
        <v>6654.4872999999998</v>
      </c>
      <c r="G839" s="1">
        <v>10504.57</v>
      </c>
      <c r="H839" s="1">
        <f>Tabela1[[#This Row],[PESO UND]]/1000*(1129)</f>
        <v>447.42269999999996</v>
      </c>
      <c r="I839" s="1"/>
    </row>
    <row r="840" spans="1:9" x14ac:dyDescent="0.25">
      <c r="A840">
        <v>1167</v>
      </c>
      <c r="B840" t="s">
        <v>815</v>
      </c>
      <c r="C840" t="str">
        <f t="shared" si="13"/>
        <v>30,2</v>
      </c>
      <c r="D840" s="2">
        <v>3950.15</v>
      </c>
      <c r="E840" s="1">
        <v>26891.200000000001</v>
      </c>
      <c r="F840" s="1">
        <f>Tabela1[[#This Row],[PR.CUSTO+FRETE]]-Tabela1[[#This Row],[FRETE]]</f>
        <v>22431.480650000001</v>
      </c>
      <c r="G840" s="1">
        <v>43886.400000000001</v>
      </c>
      <c r="H840" s="1">
        <f>Tabela1[[#This Row],[PESO UND]]/1000*(1129)</f>
        <v>4459.7193500000003</v>
      </c>
      <c r="I840" s="1"/>
    </row>
    <row r="841" spans="1:9" x14ac:dyDescent="0.25">
      <c r="A841">
        <v>151</v>
      </c>
      <c r="B841" t="s">
        <v>816</v>
      </c>
      <c r="C841" t="str">
        <f t="shared" si="13"/>
        <v>13,8</v>
      </c>
      <c r="D841" s="2">
        <v>3050.05</v>
      </c>
      <c r="E841" s="1">
        <v>20737.57</v>
      </c>
      <c r="F841" s="1">
        <f>Tabela1[[#This Row],[PR.CUSTO+FRETE]]-Tabela1[[#This Row],[FRETE]]</f>
        <v>17294.063549999999</v>
      </c>
      <c r="G841" s="1">
        <v>33943.53</v>
      </c>
      <c r="H841" s="1">
        <f>Tabela1[[#This Row],[PESO UND]]/1000*(1129)</f>
        <v>3443.5064500000003</v>
      </c>
      <c r="I841" s="1"/>
    </row>
    <row r="842" spans="1:9" x14ac:dyDescent="0.25">
      <c r="A842">
        <v>1162</v>
      </c>
      <c r="B842" t="s">
        <v>817</v>
      </c>
      <c r="C842" t="str">
        <f t="shared" si="13"/>
        <v>25,8</v>
      </c>
      <c r="D842" s="2">
        <v>3417.1</v>
      </c>
      <c r="E842" s="1">
        <v>21813.89</v>
      </c>
      <c r="F842" s="1">
        <f>Tabela1[[#This Row],[PR.CUSTO+FRETE]]-Tabela1[[#This Row],[FRETE]]</f>
        <v>17955.984099999998</v>
      </c>
      <c r="G842" s="1">
        <v>35824.449999999997</v>
      </c>
      <c r="H842" s="1">
        <f>Tabela1[[#This Row],[PESO UND]]/1000*(1129)</f>
        <v>3857.9059000000002</v>
      </c>
      <c r="I842" s="1"/>
    </row>
    <row r="843" spans="1:9" x14ac:dyDescent="0.25">
      <c r="A843">
        <v>739</v>
      </c>
      <c r="B843" t="s">
        <v>818</v>
      </c>
      <c r="C843" t="str">
        <f t="shared" si="13"/>
        <v>22,5</v>
      </c>
      <c r="D843" s="2">
        <v>680.1</v>
      </c>
      <c r="E843" s="1">
        <v>3447.32</v>
      </c>
      <c r="F843" s="1">
        <f>Tabela1[[#This Row],[PR.CUSTO+FRETE]]-Tabela1[[#This Row],[FRETE]]</f>
        <v>2679.4871000000003</v>
      </c>
      <c r="G843" s="1">
        <v>5769.66</v>
      </c>
      <c r="H843" s="1">
        <f>Tabela1[[#This Row],[PESO UND]]/1000*(1129)</f>
        <v>767.8329</v>
      </c>
      <c r="I843" s="1"/>
    </row>
    <row r="844" spans="1:9" x14ac:dyDescent="0.25">
      <c r="A844">
        <v>738</v>
      </c>
      <c r="B844" t="s">
        <v>819</v>
      </c>
      <c r="C844" t="str">
        <f t="shared" si="13"/>
        <v>22,5</v>
      </c>
      <c r="D844" s="2">
        <v>182.3</v>
      </c>
      <c r="E844" s="1">
        <v>1437.78</v>
      </c>
      <c r="F844" s="1">
        <f>Tabela1[[#This Row],[PR.CUSTO+FRETE]]-Tabela1[[#This Row],[FRETE]]</f>
        <v>1231.9632999999999</v>
      </c>
      <c r="G844" s="1">
        <v>2467.27</v>
      </c>
      <c r="H844" s="1">
        <f>Tabela1[[#This Row],[PESO UND]]/1000*(1129)</f>
        <v>205.81670000000003</v>
      </c>
      <c r="I844" s="1"/>
    </row>
    <row r="845" spans="1:9" x14ac:dyDescent="0.25">
      <c r="A845">
        <v>737</v>
      </c>
      <c r="B845" t="s">
        <v>820</v>
      </c>
      <c r="C845" t="str">
        <f t="shared" si="13"/>
        <v>22,5</v>
      </c>
      <c r="D845" s="2">
        <v>732</v>
      </c>
      <c r="E845" s="1">
        <v>3941.23</v>
      </c>
      <c r="F845" s="1">
        <f>Tabela1[[#This Row],[PR.CUSTO+FRETE]]-Tabela1[[#This Row],[FRETE]]</f>
        <v>3114.8020000000001</v>
      </c>
      <c r="G845" s="1">
        <v>6580.23</v>
      </c>
      <c r="H845" s="1">
        <f>Tabela1[[#This Row],[PESO UND]]/1000*(1129)</f>
        <v>826.428</v>
      </c>
      <c r="I845" s="1"/>
    </row>
    <row r="846" spans="1:9" x14ac:dyDescent="0.25">
      <c r="A846">
        <v>725</v>
      </c>
      <c r="B846" t="s">
        <v>821</v>
      </c>
      <c r="C846" t="str">
        <f t="shared" si="13"/>
        <v>22,5</v>
      </c>
      <c r="D846" s="2">
        <v>2202.6</v>
      </c>
      <c r="E846" s="1">
        <v>10506.97</v>
      </c>
      <c r="F846" s="1">
        <f>Tabela1[[#This Row],[PR.CUSTO+FRETE]]-Tabela1[[#This Row],[FRETE]]</f>
        <v>8020.2345999999998</v>
      </c>
      <c r="G846" s="1">
        <v>17077.830000000002</v>
      </c>
      <c r="H846" s="1">
        <f>Tabela1[[#This Row],[PESO UND]]/1000*(1129)</f>
        <v>2486.7354</v>
      </c>
      <c r="I846" s="1"/>
    </row>
    <row r="847" spans="1:9" x14ac:dyDescent="0.25">
      <c r="A847">
        <v>736</v>
      </c>
      <c r="B847" t="s">
        <v>822</v>
      </c>
      <c r="C847" t="str">
        <f t="shared" si="13"/>
        <v>22,5</v>
      </c>
      <c r="D847" s="2">
        <v>22.5</v>
      </c>
      <c r="E847" s="1">
        <v>982.22</v>
      </c>
      <c r="F847" s="1">
        <f>Tabela1[[#This Row],[PR.CUSTO+FRETE]]-Tabela1[[#This Row],[FRETE]]</f>
        <v>956.8175</v>
      </c>
      <c r="G847" s="1">
        <v>1510.45</v>
      </c>
      <c r="H847" s="1">
        <f>Tabela1[[#This Row],[PESO UND]]/1000*(1129)</f>
        <v>25.4025</v>
      </c>
      <c r="I847" s="1"/>
    </row>
    <row r="848" spans="1:9" x14ac:dyDescent="0.25">
      <c r="A848">
        <v>735</v>
      </c>
      <c r="B848" t="s">
        <v>823</v>
      </c>
      <c r="C848" t="str">
        <f t="shared" si="13"/>
        <v>22,5</v>
      </c>
      <c r="D848" s="2">
        <v>219.6</v>
      </c>
      <c r="E848" s="1">
        <v>4143.5600000000004</v>
      </c>
      <c r="F848" s="1">
        <f>Tabela1[[#This Row],[PR.CUSTO+FRETE]]-Tabela1[[#This Row],[FRETE]]</f>
        <v>3895.6316000000006</v>
      </c>
      <c r="G848" s="1">
        <v>6149.55</v>
      </c>
      <c r="H848" s="1">
        <f>Tabela1[[#This Row],[PESO UND]]/1000*(1129)</f>
        <v>247.92839999999998</v>
      </c>
      <c r="I848" s="1"/>
    </row>
    <row r="849" spans="1:9" x14ac:dyDescent="0.25">
      <c r="A849">
        <v>734</v>
      </c>
      <c r="B849" t="s">
        <v>824</v>
      </c>
      <c r="C849" t="str">
        <f t="shared" si="13"/>
        <v>22,5</v>
      </c>
      <c r="D849" s="2">
        <v>219.6</v>
      </c>
      <c r="E849" s="1">
        <v>4001.58</v>
      </c>
      <c r="F849" s="1">
        <f>Tabela1[[#This Row],[PR.CUSTO+FRETE]]-Tabela1[[#This Row],[FRETE]]</f>
        <v>3753.6516000000001</v>
      </c>
      <c r="G849" s="1">
        <v>5925.41</v>
      </c>
      <c r="H849" s="1">
        <f>Tabela1[[#This Row],[PESO UND]]/1000*(1129)</f>
        <v>247.92839999999998</v>
      </c>
      <c r="I849" s="1"/>
    </row>
    <row r="850" spans="1:9" x14ac:dyDescent="0.25">
      <c r="A850">
        <v>696</v>
      </c>
      <c r="B850" t="s">
        <v>825</v>
      </c>
      <c r="C850" t="str">
        <f t="shared" si="13"/>
        <v>33,2</v>
      </c>
      <c r="D850" s="2">
        <v>3027.93</v>
      </c>
      <c r="E850" s="1">
        <v>14679.22</v>
      </c>
      <c r="F850" s="1">
        <f>Tabela1[[#This Row],[PR.CUSTO+FRETE]]-Tabela1[[#This Row],[FRETE]]</f>
        <v>11260.687029999999</v>
      </c>
      <c r="G850" s="1">
        <v>24255.52</v>
      </c>
      <c r="H850" s="1">
        <f>Tabela1[[#This Row],[PESO UND]]/1000*(1129)</f>
        <v>3418.5329700000002</v>
      </c>
      <c r="I850" s="1"/>
    </row>
    <row r="851" spans="1:9" x14ac:dyDescent="0.25">
      <c r="A851">
        <v>745</v>
      </c>
      <c r="B851" t="s">
        <v>826</v>
      </c>
      <c r="C851" t="str">
        <f t="shared" si="13"/>
        <v>33,2</v>
      </c>
      <c r="D851" s="2">
        <v>797.7</v>
      </c>
      <c r="E851" s="1">
        <v>4680.68</v>
      </c>
      <c r="F851" s="1">
        <f>Tabela1[[#This Row],[PR.CUSTO+FRETE]]-Tabela1[[#This Row],[FRETE]]</f>
        <v>3780.0767000000001</v>
      </c>
      <c r="G851" s="1">
        <v>8201.7999999999993</v>
      </c>
      <c r="H851" s="1">
        <f>Tabela1[[#This Row],[PESO UND]]/1000*(1129)</f>
        <v>900.6033000000001</v>
      </c>
      <c r="I851" s="1"/>
    </row>
    <row r="852" spans="1:9" x14ac:dyDescent="0.25">
      <c r="A852">
        <v>744</v>
      </c>
      <c r="B852" t="s">
        <v>827</v>
      </c>
      <c r="C852" t="str">
        <f t="shared" si="13"/>
        <v>33,2</v>
      </c>
      <c r="D852" s="2">
        <v>197.9</v>
      </c>
      <c r="E852" s="1">
        <v>1530.51</v>
      </c>
      <c r="F852" s="1">
        <f>Tabela1[[#This Row],[PR.CUSTO+FRETE]]-Tabela1[[#This Row],[FRETE]]</f>
        <v>1307.0808999999999</v>
      </c>
      <c r="G852" s="1">
        <v>2633.28</v>
      </c>
      <c r="H852" s="1">
        <f>Tabela1[[#This Row],[PESO UND]]/1000*(1129)</f>
        <v>223.42910000000001</v>
      </c>
      <c r="I852" s="1"/>
    </row>
    <row r="853" spans="1:9" x14ac:dyDescent="0.25">
      <c r="A853">
        <v>743</v>
      </c>
      <c r="B853" t="s">
        <v>828</v>
      </c>
      <c r="C853" t="str">
        <f t="shared" si="13"/>
        <v>33,2</v>
      </c>
      <c r="D853" s="2">
        <v>1109</v>
      </c>
      <c r="E853" s="1">
        <v>5731.03</v>
      </c>
      <c r="F853" s="1">
        <f>Tabela1[[#This Row],[PR.CUSTO+FRETE]]-Tabela1[[#This Row],[FRETE]]</f>
        <v>4478.9690000000001</v>
      </c>
      <c r="G853" s="1">
        <v>9595.02</v>
      </c>
      <c r="H853" s="1">
        <f>Tabela1[[#This Row],[PESO UND]]/1000*(1129)</f>
        <v>1252.0609999999999</v>
      </c>
      <c r="I853" s="1"/>
    </row>
    <row r="854" spans="1:9" x14ac:dyDescent="0.25">
      <c r="A854">
        <v>742</v>
      </c>
      <c r="B854" t="s">
        <v>829</v>
      </c>
      <c r="C854" t="str">
        <f t="shared" si="13"/>
        <v>33,2</v>
      </c>
      <c r="D854" s="2">
        <v>33.75</v>
      </c>
      <c r="E854" s="1">
        <v>1473.33</v>
      </c>
      <c r="F854" s="1">
        <f>Tabela1[[#This Row],[PR.CUSTO+FRETE]]-Tabela1[[#This Row],[FRETE]]</f>
        <v>1435.2262499999999</v>
      </c>
      <c r="G854" s="1">
        <v>2265.67</v>
      </c>
      <c r="H854" s="1">
        <f>Tabela1[[#This Row],[PESO UND]]/1000*(1129)</f>
        <v>38.103750000000005</v>
      </c>
      <c r="I854" s="1"/>
    </row>
    <row r="855" spans="1:9" x14ac:dyDescent="0.25">
      <c r="A855">
        <v>741</v>
      </c>
      <c r="B855" t="s">
        <v>830</v>
      </c>
      <c r="C855" t="str">
        <f t="shared" si="13"/>
        <v>33,2</v>
      </c>
      <c r="D855" s="2">
        <v>313.39999999999998</v>
      </c>
      <c r="E855" s="1">
        <v>5938.4</v>
      </c>
      <c r="F855" s="1">
        <f>Tabela1[[#This Row],[PR.CUSTO+FRETE]]-Tabela1[[#This Row],[FRETE]]</f>
        <v>5584.5713999999998</v>
      </c>
      <c r="G855" s="1">
        <v>8815.6200000000008</v>
      </c>
      <c r="H855" s="1">
        <f>Tabela1[[#This Row],[PESO UND]]/1000*(1129)</f>
        <v>353.82859999999994</v>
      </c>
      <c r="I855" s="1"/>
    </row>
    <row r="856" spans="1:9" x14ac:dyDescent="0.25">
      <c r="A856">
        <v>740</v>
      </c>
      <c r="B856" t="s">
        <v>831</v>
      </c>
      <c r="C856" t="str">
        <f t="shared" si="13"/>
        <v>33,2</v>
      </c>
      <c r="D856" s="2">
        <v>313.39999999999998</v>
      </c>
      <c r="E856" s="1">
        <v>5738.42</v>
      </c>
      <c r="F856" s="1">
        <f>Tabela1[[#This Row],[PR.CUSTO+FRETE]]-Tabela1[[#This Row],[FRETE]]</f>
        <v>5384.5914000000002</v>
      </c>
      <c r="G856" s="1">
        <v>8499.94</v>
      </c>
      <c r="H856" s="1">
        <f>Tabela1[[#This Row],[PESO UND]]/1000*(1129)</f>
        <v>353.82859999999994</v>
      </c>
      <c r="I856" s="1"/>
    </row>
    <row r="857" spans="1:9" x14ac:dyDescent="0.25">
      <c r="A857">
        <v>751</v>
      </c>
      <c r="B857" t="s">
        <v>832</v>
      </c>
      <c r="C857" t="str">
        <f t="shared" si="13"/>
        <v>47,4</v>
      </c>
      <c r="D857" s="2">
        <v>1174.3499999999999</v>
      </c>
      <c r="E857" s="1">
        <v>7095.85</v>
      </c>
      <c r="F857" s="1">
        <f>Tabela1[[#This Row],[PR.CUSTO+FRETE]]-Tabela1[[#This Row],[FRETE]]</f>
        <v>5770.0088500000002</v>
      </c>
      <c r="G857" s="1">
        <v>12599.43</v>
      </c>
      <c r="H857" s="1">
        <f>Tabela1[[#This Row],[PESO UND]]/1000*(1129)</f>
        <v>1325.84115</v>
      </c>
      <c r="I857" s="1"/>
    </row>
    <row r="858" spans="1:9" x14ac:dyDescent="0.25">
      <c r="A858">
        <v>750</v>
      </c>
      <c r="B858" t="s">
        <v>833</v>
      </c>
      <c r="C858" t="str">
        <f t="shared" si="13"/>
        <v>47,4</v>
      </c>
      <c r="D858" s="2">
        <v>197.9</v>
      </c>
      <c r="E858" s="1">
        <v>1530.51</v>
      </c>
      <c r="F858" s="1">
        <f>Tabela1[[#This Row],[PR.CUSTO+FRETE]]-Tabela1[[#This Row],[FRETE]]</f>
        <v>1307.0808999999999</v>
      </c>
      <c r="G858" s="1">
        <v>2633.28</v>
      </c>
      <c r="H858" s="1">
        <f>Tabela1[[#This Row],[PESO UND]]/1000*(1129)</f>
        <v>223.42910000000001</v>
      </c>
      <c r="I858" s="1"/>
    </row>
    <row r="859" spans="1:9" x14ac:dyDescent="0.25">
      <c r="A859">
        <v>749</v>
      </c>
      <c r="B859" t="s">
        <v>834</v>
      </c>
      <c r="C859" t="str">
        <f t="shared" si="13"/>
        <v>47,4</v>
      </c>
      <c r="D859" s="2">
        <v>1572.5</v>
      </c>
      <c r="E859" s="1">
        <v>8164.51</v>
      </c>
      <c r="F859" s="1">
        <f>Tabela1[[#This Row],[PR.CUSTO+FRETE]]-Tabela1[[#This Row],[FRETE]]</f>
        <v>6389.1575000000003</v>
      </c>
      <c r="G859" s="1">
        <v>13664.83</v>
      </c>
      <c r="H859" s="1">
        <f>Tabela1[[#This Row],[PESO UND]]/1000*(1129)</f>
        <v>1775.3525</v>
      </c>
      <c r="I859" s="1"/>
    </row>
    <row r="860" spans="1:9" x14ac:dyDescent="0.25">
      <c r="A860">
        <v>713</v>
      </c>
      <c r="B860" t="s">
        <v>835</v>
      </c>
      <c r="C860" t="str">
        <f t="shared" si="13"/>
        <v>47,4</v>
      </c>
      <c r="D860" s="2">
        <v>4159.78</v>
      </c>
      <c r="E860" s="1">
        <v>20053.490000000002</v>
      </c>
      <c r="F860" s="1">
        <f>Tabela1[[#This Row],[PR.CUSTO+FRETE]]-Tabela1[[#This Row],[FRETE]]</f>
        <v>15357.098380000003</v>
      </c>
      <c r="G860" s="1">
        <v>33107.760000000002</v>
      </c>
      <c r="H860" s="1">
        <f>Tabela1[[#This Row],[PESO UND]]/1000*(1129)</f>
        <v>4696.3916199999994</v>
      </c>
      <c r="I860" s="1"/>
    </row>
    <row r="861" spans="1:9" x14ac:dyDescent="0.25">
      <c r="A861">
        <v>748</v>
      </c>
      <c r="B861" t="s">
        <v>836</v>
      </c>
      <c r="C861" t="str">
        <f t="shared" si="13"/>
        <v>47,4</v>
      </c>
      <c r="D861" s="2">
        <v>48.75</v>
      </c>
      <c r="E861" s="1">
        <v>2128.15</v>
      </c>
      <c r="F861" s="1">
        <f>Tabela1[[#This Row],[PR.CUSTO+FRETE]]-Tabela1[[#This Row],[FRETE]]</f>
        <v>2073.1112499999999</v>
      </c>
      <c r="G861" s="1">
        <v>3272.63</v>
      </c>
      <c r="H861" s="1">
        <f>Tabela1[[#This Row],[PESO UND]]/1000*(1129)</f>
        <v>55.03875</v>
      </c>
      <c r="I861" s="1"/>
    </row>
    <row r="862" spans="1:9" x14ac:dyDescent="0.25">
      <c r="A862">
        <v>747</v>
      </c>
      <c r="B862" t="s">
        <v>837</v>
      </c>
      <c r="C862" t="str">
        <f t="shared" si="13"/>
        <v>47,4</v>
      </c>
      <c r="D862" s="2">
        <v>369.7</v>
      </c>
      <c r="E862" s="1">
        <v>6974.89</v>
      </c>
      <c r="F862" s="1">
        <f>Tabela1[[#This Row],[PR.CUSTO+FRETE]]-Tabela1[[#This Row],[FRETE]]</f>
        <v>6557.4987000000001</v>
      </c>
      <c r="G862" s="1">
        <v>10351.469999999999</v>
      </c>
      <c r="H862" s="1">
        <f>Tabela1[[#This Row],[PESO UND]]/1000*(1129)</f>
        <v>417.39129999999994</v>
      </c>
      <c r="I862" s="1"/>
    </row>
    <row r="863" spans="1:9" x14ac:dyDescent="0.25">
      <c r="A863">
        <v>746</v>
      </c>
      <c r="B863" t="s">
        <v>838</v>
      </c>
      <c r="C863" t="str">
        <f t="shared" si="13"/>
        <v>47,4</v>
      </c>
      <c r="D863" s="2">
        <v>369.7</v>
      </c>
      <c r="E863" s="1">
        <v>6740.64</v>
      </c>
      <c r="F863" s="1">
        <f>Tabela1[[#This Row],[PR.CUSTO+FRETE]]-Tabela1[[#This Row],[FRETE]]</f>
        <v>6323.2487000000001</v>
      </c>
      <c r="G863" s="1">
        <v>9981.68</v>
      </c>
      <c r="H863" s="1">
        <f>Tabela1[[#This Row],[PESO UND]]/1000*(1129)</f>
        <v>417.39129999999994</v>
      </c>
      <c r="I863" s="1"/>
    </row>
    <row r="864" spans="1:9" x14ac:dyDescent="0.25">
      <c r="A864">
        <v>711</v>
      </c>
      <c r="B864" t="s">
        <v>839</v>
      </c>
      <c r="C864" t="str">
        <f t="shared" si="13"/>
        <v>107,</v>
      </c>
      <c r="D864" s="2">
        <v>11985.19</v>
      </c>
      <c r="E864" s="1">
        <v>67868.06</v>
      </c>
      <c r="F864" s="1">
        <f>Tabela1[[#This Row],[PR.CUSTO+FRETE]]-Tabela1[[#This Row],[FRETE]]</f>
        <v>54336.780489999997</v>
      </c>
      <c r="G864" s="1">
        <v>111277.78</v>
      </c>
      <c r="H864" s="1">
        <f>Tabela1[[#This Row],[PESO UND]]/1000*(1129)</f>
        <v>13531.279510000002</v>
      </c>
      <c r="I864" s="1"/>
    </row>
    <row r="865" spans="1:9" x14ac:dyDescent="0.25">
      <c r="A865">
        <v>274</v>
      </c>
      <c r="B865" t="s">
        <v>840</v>
      </c>
      <c r="C865" t="str">
        <f t="shared" si="13"/>
        <v>107,</v>
      </c>
      <c r="D865" s="2">
        <v>2103</v>
      </c>
      <c r="E865" s="1">
        <v>11149.13</v>
      </c>
      <c r="F865" s="1">
        <f>Tabela1[[#This Row],[PR.CUSTO+FRETE]]-Tabela1[[#This Row],[FRETE]]</f>
        <v>8774.8429999999989</v>
      </c>
      <c r="G865" s="1">
        <v>18633.7</v>
      </c>
      <c r="H865" s="1">
        <f>Tabela1[[#This Row],[PESO UND]]/1000*(1129)</f>
        <v>2374.2870000000003</v>
      </c>
      <c r="I865" s="1"/>
    </row>
    <row r="866" spans="1:9" x14ac:dyDescent="0.25">
      <c r="A866">
        <v>273</v>
      </c>
      <c r="B866" t="s">
        <v>841</v>
      </c>
      <c r="C866" t="str">
        <f t="shared" si="13"/>
        <v>107,</v>
      </c>
      <c r="D866" s="2">
        <v>86.25</v>
      </c>
      <c r="E866" s="1">
        <v>3765.19</v>
      </c>
      <c r="F866" s="1">
        <f>Tabela1[[#This Row],[PR.CUSTO+FRETE]]-Tabela1[[#This Row],[FRETE]]</f>
        <v>3667.8137500000003</v>
      </c>
      <c r="G866" s="1">
        <v>5790.05</v>
      </c>
      <c r="H866" s="1">
        <f>Tabela1[[#This Row],[PESO UND]]/1000*(1129)</f>
        <v>97.376249999999999</v>
      </c>
      <c r="I866" s="1"/>
    </row>
    <row r="867" spans="1:9" x14ac:dyDescent="0.25">
      <c r="A867">
        <v>272</v>
      </c>
      <c r="B867" t="s">
        <v>842</v>
      </c>
      <c r="C867" t="str">
        <f t="shared" si="13"/>
        <v>107,</v>
      </c>
      <c r="D867" s="2">
        <v>636.70000000000005</v>
      </c>
      <c r="E867" s="1">
        <v>11922.97</v>
      </c>
      <c r="F867" s="1">
        <f>Tabela1[[#This Row],[PR.CUSTO+FRETE]]-Tabela1[[#This Row],[FRETE]]</f>
        <v>11204.135699999999</v>
      </c>
      <c r="G867" s="1">
        <v>17686.52</v>
      </c>
      <c r="H867" s="1">
        <f>Tabela1[[#This Row],[PESO UND]]/1000*(1129)</f>
        <v>718.8343000000001</v>
      </c>
      <c r="I867" s="1"/>
    </row>
    <row r="868" spans="1:9" x14ac:dyDescent="0.25">
      <c r="A868">
        <v>271</v>
      </c>
      <c r="B868" t="s">
        <v>843</v>
      </c>
      <c r="C868" t="str">
        <f t="shared" si="13"/>
        <v>107,</v>
      </c>
      <c r="D868" s="2">
        <v>636.70000000000005</v>
      </c>
      <c r="E868" s="1">
        <v>11472.98</v>
      </c>
      <c r="F868" s="1">
        <f>Tabela1[[#This Row],[PR.CUSTO+FRETE]]-Tabela1[[#This Row],[FRETE]]</f>
        <v>10754.145699999999</v>
      </c>
      <c r="G868" s="1">
        <v>16976.18</v>
      </c>
      <c r="H868" s="1">
        <f>Tabela1[[#This Row],[PESO UND]]/1000*(1129)</f>
        <v>718.8343000000001</v>
      </c>
      <c r="I868" s="1"/>
    </row>
    <row r="869" spans="1:9" x14ac:dyDescent="0.25">
      <c r="A869">
        <v>848</v>
      </c>
      <c r="B869" t="s">
        <v>844</v>
      </c>
      <c r="C869" t="str">
        <f t="shared" si="13"/>
        <v>148,</v>
      </c>
      <c r="D869" s="2">
        <v>13773.44</v>
      </c>
      <c r="E869" s="1">
        <v>78315.960000000006</v>
      </c>
      <c r="F869" s="1">
        <f>Tabela1[[#This Row],[PR.CUSTO+FRETE]]-Tabela1[[#This Row],[FRETE]]</f>
        <v>62765.746240000008</v>
      </c>
      <c r="G869" s="1">
        <v>129138.95</v>
      </c>
      <c r="H869" s="1">
        <f>Tabela1[[#This Row],[PESO UND]]/1000*(1129)</f>
        <v>15550.213760000001</v>
      </c>
      <c r="I869" s="1"/>
    </row>
    <row r="870" spans="1:9" x14ac:dyDescent="0.25">
      <c r="A870">
        <v>852</v>
      </c>
      <c r="B870" t="s">
        <v>845</v>
      </c>
      <c r="C870" t="str">
        <f t="shared" si="13"/>
        <v>148,</v>
      </c>
      <c r="D870" s="2">
        <v>2573.5</v>
      </c>
      <c r="E870" s="1">
        <v>13460.34</v>
      </c>
      <c r="F870" s="1">
        <f>Tabela1[[#This Row],[PR.CUSTO+FRETE]]-Tabela1[[#This Row],[FRETE]]</f>
        <v>10554.8585</v>
      </c>
      <c r="G870" s="1">
        <v>22567.55</v>
      </c>
      <c r="H870" s="1">
        <f>Tabela1[[#This Row],[PESO UND]]/1000*(1129)</f>
        <v>2905.4815000000003</v>
      </c>
      <c r="I870" s="1"/>
    </row>
    <row r="871" spans="1:9" x14ac:dyDescent="0.25">
      <c r="A871">
        <v>851</v>
      </c>
      <c r="B871" t="s">
        <v>846</v>
      </c>
      <c r="C871" t="str">
        <f t="shared" si="13"/>
        <v>148,</v>
      </c>
      <c r="D871" s="2">
        <v>105</v>
      </c>
      <c r="E871" s="1">
        <v>4583.71</v>
      </c>
      <c r="F871" s="1">
        <f>Tabela1[[#This Row],[PR.CUSTO+FRETE]]-Tabela1[[#This Row],[FRETE]]</f>
        <v>4465.165</v>
      </c>
      <c r="G871" s="1">
        <v>7048.75</v>
      </c>
      <c r="H871" s="1">
        <f>Tabela1[[#This Row],[PESO UND]]/1000*(1129)</f>
        <v>118.545</v>
      </c>
      <c r="I871" s="1"/>
    </row>
    <row r="872" spans="1:9" x14ac:dyDescent="0.25">
      <c r="A872">
        <v>850</v>
      </c>
      <c r="B872" t="s">
        <v>847</v>
      </c>
      <c r="C872" t="str">
        <f t="shared" si="13"/>
        <v>148,</v>
      </c>
      <c r="D872" s="2">
        <v>789</v>
      </c>
      <c r="E872" s="1">
        <v>14778.07</v>
      </c>
      <c r="F872" s="1">
        <f>Tabela1[[#This Row],[PR.CUSTO+FRETE]]-Tabela1[[#This Row],[FRETE]]</f>
        <v>13887.288999999999</v>
      </c>
      <c r="G872" s="1">
        <v>21922.07</v>
      </c>
      <c r="H872" s="1">
        <f>Tabela1[[#This Row],[PESO UND]]/1000*(1129)</f>
        <v>890.78100000000006</v>
      </c>
      <c r="I872" s="1"/>
    </row>
    <row r="873" spans="1:9" x14ac:dyDescent="0.25">
      <c r="A873">
        <v>849</v>
      </c>
      <c r="B873" t="s">
        <v>848</v>
      </c>
      <c r="C873" t="str">
        <f t="shared" si="13"/>
        <v>148,</v>
      </c>
      <c r="D873" s="2">
        <v>789</v>
      </c>
      <c r="E873" s="1">
        <v>14220.37</v>
      </c>
      <c r="F873" s="1">
        <f>Tabela1[[#This Row],[PR.CUSTO+FRETE]]-Tabela1[[#This Row],[FRETE]]</f>
        <v>13329.589</v>
      </c>
      <c r="G873" s="1">
        <v>21041.69</v>
      </c>
      <c r="H873" s="1">
        <f>Tabela1[[#This Row],[PESO UND]]/1000*(1129)</f>
        <v>890.78100000000006</v>
      </c>
      <c r="I873" s="1"/>
    </row>
    <row r="874" spans="1:9" x14ac:dyDescent="0.25">
      <c r="A874">
        <v>1050</v>
      </c>
      <c r="B874" t="s">
        <v>849</v>
      </c>
      <c r="C874" t="str">
        <f t="shared" si="13"/>
        <v>167,</v>
      </c>
      <c r="D874" s="2">
        <v>2722.5</v>
      </c>
      <c r="E874" s="1">
        <v>14323.22</v>
      </c>
      <c r="F874" s="1">
        <f>Tabela1[[#This Row],[PR.CUSTO+FRETE]]-Tabela1[[#This Row],[FRETE]]</f>
        <v>11249.517499999998</v>
      </c>
      <c r="G874" s="1">
        <v>23951.01</v>
      </c>
      <c r="H874" s="1">
        <f>Tabela1[[#This Row],[PESO UND]]/1000*(1129)</f>
        <v>3073.7025000000003</v>
      </c>
      <c r="I874" s="1"/>
    </row>
    <row r="875" spans="1:9" x14ac:dyDescent="0.25">
      <c r="A875">
        <v>758</v>
      </c>
      <c r="B875" t="s">
        <v>850</v>
      </c>
      <c r="C875" t="str">
        <f t="shared" si="13"/>
        <v>15M²</v>
      </c>
      <c r="D875" s="2">
        <v>1902.55</v>
      </c>
      <c r="E875" s="1">
        <v>10514.12</v>
      </c>
      <c r="F875" s="1">
        <f>Tabela1[[#This Row],[PR.CUSTO+FRETE]]-Tabela1[[#This Row],[FRETE]]</f>
        <v>8366.1410500000002</v>
      </c>
      <c r="G875" s="1">
        <v>17049.13</v>
      </c>
      <c r="H875" s="1">
        <f>Tabela1[[#This Row],[PESO UND]]/1000*(1129)</f>
        <v>2147.9789500000002</v>
      </c>
      <c r="I875" s="1"/>
    </row>
    <row r="876" spans="1:9" x14ac:dyDescent="0.25">
      <c r="A876">
        <v>763</v>
      </c>
      <c r="B876" t="s">
        <v>851</v>
      </c>
      <c r="C876" t="str">
        <f t="shared" si="13"/>
        <v>15M²</v>
      </c>
      <c r="D876" s="2">
        <v>409.55</v>
      </c>
      <c r="E876" s="1">
        <v>2421.39</v>
      </c>
      <c r="F876" s="1">
        <f>Tabela1[[#This Row],[PR.CUSTO+FRETE]]-Tabela1[[#This Row],[FRETE]]</f>
        <v>1959.0080499999999</v>
      </c>
      <c r="G876" s="1">
        <v>4253.4799999999996</v>
      </c>
      <c r="H876" s="1">
        <f>Tabela1[[#This Row],[PESO UND]]/1000*(1129)</f>
        <v>462.38195000000002</v>
      </c>
      <c r="I876" s="1"/>
    </row>
    <row r="877" spans="1:9" x14ac:dyDescent="0.25">
      <c r="A877">
        <v>762</v>
      </c>
      <c r="B877" t="s">
        <v>852</v>
      </c>
      <c r="C877" t="str">
        <f t="shared" si="13"/>
        <v>15M²</v>
      </c>
      <c r="D877" s="2">
        <v>717</v>
      </c>
      <c r="E877" s="1">
        <v>3636.98</v>
      </c>
      <c r="F877" s="1">
        <f>Tabela1[[#This Row],[PR.CUSTO+FRETE]]-Tabela1[[#This Row],[FRETE]]</f>
        <v>2827.4870000000001</v>
      </c>
      <c r="G877" s="1">
        <v>6096.99</v>
      </c>
      <c r="H877" s="1">
        <f>Tabela1[[#This Row],[PESO UND]]/1000*(1129)</f>
        <v>809.49299999999994</v>
      </c>
      <c r="I877" s="1"/>
    </row>
    <row r="878" spans="1:9" x14ac:dyDescent="0.25">
      <c r="A878">
        <v>761</v>
      </c>
      <c r="B878" t="s">
        <v>853</v>
      </c>
      <c r="C878" t="str">
        <f t="shared" si="13"/>
        <v>15M²</v>
      </c>
      <c r="D878" s="2">
        <v>25.2</v>
      </c>
      <c r="E878" s="1">
        <v>863.97</v>
      </c>
      <c r="F878" s="1">
        <f>Tabela1[[#This Row],[PR.CUSTO+FRETE]]-Tabela1[[#This Row],[FRETE]]</f>
        <v>835.51920000000007</v>
      </c>
      <c r="G878" s="1">
        <v>1318.97</v>
      </c>
      <c r="H878" s="1">
        <f>Tabela1[[#This Row],[PESO UND]]/1000*(1129)</f>
        <v>28.450800000000001</v>
      </c>
      <c r="I878" s="1"/>
    </row>
    <row r="879" spans="1:9" x14ac:dyDescent="0.25">
      <c r="A879">
        <v>760</v>
      </c>
      <c r="B879" t="s">
        <v>854</v>
      </c>
      <c r="C879" t="str">
        <f t="shared" si="13"/>
        <v>15M²</v>
      </c>
      <c r="D879" s="2">
        <v>146.19999999999999</v>
      </c>
      <c r="E879" s="1">
        <v>2741.95</v>
      </c>
      <c r="F879" s="1">
        <f>Tabela1[[#This Row],[PR.CUSTO+FRETE]]-Tabela1[[#This Row],[FRETE]]</f>
        <v>2576.8901999999998</v>
      </c>
      <c r="G879" s="1">
        <v>4067.82</v>
      </c>
      <c r="H879" s="1">
        <f>Tabela1[[#This Row],[PESO UND]]/1000*(1129)</f>
        <v>165.0598</v>
      </c>
      <c r="I879" s="1"/>
    </row>
    <row r="880" spans="1:9" x14ac:dyDescent="0.25">
      <c r="A880">
        <v>759</v>
      </c>
      <c r="B880" t="s">
        <v>855</v>
      </c>
      <c r="C880" t="str">
        <f t="shared" si="13"/>
        <v>15M²</v>
      </c>
      <c r="D880" s="2">
        <v>146.19999999999999</v>
      </c>
      <c r="E880" s="1">
        <v>2638.52</v>
      </c>
      <c r="F880" s="1">
        <f>Tabela1[[#This Row],[PR.CUSTO+FRETE]]-Tabela1[[#This Row],[FRETE]]</f>
        <v>2473.4602</v>
      </c>
      <c r="G880" s="1">
        <v>3904.54</v>
      </c>
      <c r="H880" s="1">
        <f>Tabela1[[#This Row],[PESO UND]]/1000*(1129)</f>
        <v>165.0598</v>
      </c>
      <c r="I880" s="1"/>
    </row>
    <row r="881" spans="1:9" x14ac:dyDescent="0.25">
      <c r="A881">
        <v>232</v>
      </c>
      <c r="B881" t="s">
        <v>856</v>
      </c>
      <c r="C881" t="str">
        <f t="shared" si="13"/>
        <v>16M²</v>
      </c>
      <c r="D881" s="2">
        <v>1501.7</v>
      </c>
      <c r="E881" s="1">
        <v>9227.77</v>
      </c>
      <c r="F881" s="1">
        <f>Tabela1[[#This Row],[PR.CUSTO+FRETE]]-Tabela1[[#This Row],[FRETE]]</f>
        <v>7532.3507000000009</v>
      </c>
      <c r="G881" s="1">
        <v>15027.94</v>
      </c>
      <c r="H881" s="1">
        <f>Tabela1[[#This Row],[PESO UND]]/1000*(1129)</f>
        <v>1695.4193</v>
      </c>
      <c r="I881" s="1"/>
    </row>
    <row r="882" spans="1:9" x14ac:dyDescent="0.25">
      <c r="A882">
        <v>978</v>
      </c>
      <c r="B882" t="s">
        <v>857</v>
      </c>
      <c r="C882" t="str">
        <f t="shared" si="13"/>
        <v>16M²</v>
      </c>
      <c r="D882" s="2">
        <v>446.1</v>
      </c>
      <c r="E882" s="1">
        <v>2242.4299999999998</v>
      </c>
      <c r="F882" s="1">
        <f>Tabela1[[#This Row],[PR.CUSTO+FRETE]]-Tabela1[[#This Row],[FRETE]]</f>
        <v>1738.7830999999999</v>
      </c>
      <c r="G882" s="1">
        <v>3766.62</v>
      </c>
      <c r="H882" s="1">
        <f>Tabela1[[#This Row],[PESO UND]]/1000*(1129)</f>
        <v>503.64690000000002</v>
      </c>
      <c r="I882" s="1"/>
    </row>
    <row r="883" spans="1:9" x14ac:dyDescent="0.25">
      <c r="A883">
        <v>986</v>
      </c>
      <c r="B883" t="s">
        <v>858</v>
      </c>
      <c r="C883" t="str">
        <f t="shared" si="13"/>
        <v>16M²</v>
      </c>
      <c r="D883" s="2">
        <v>87.55</v>
      </c>
      <c r="E883" s="1">
        <v>733.13</v>
      </c>
      <c r="F883" s="1">
        <f>Tabela1[[#This Row],[PR.CUSTO+FRETE]]-Tabela1[[#This Row],[FRETE]]</f>
        <v>634.28604999999993</v>
      </c>
      <c r="G883" s="1">
        <v>1247.0999999999999</v>
      </c>
      <c r="H883" s="1">
        <f>Tabela1[[#This Row],[PESO UND]]/1000*(1129)</f>
        <v>98.843950000000007</v>
      </c>
      <c r="I883" s="1"/>
    </row>
    <row r="884" spans="1:9" x14ac:dyDescent="0.25">
      <c r="A884">
        <v>236</v>
      </c>
      <c r="B884" t="s">
        <v>859</v>
      </c>
      <c r="C884" t="str">
        <f t="shared" si="13"/>
        <v>16M²</v>
      </c>
      <c r="D884" s="2">
        <v>581.5</v>
      </c>
      <c r="E884" s="1">
        <v>3110.22</v>
      </c>
      <c r="F884" s="1">
        <f>Tabela1[[#This Row],[PR.CUSTO+FRETE]]-Tabela1[[#This Row],[FRETE]]</f>
        <v>2453.7064999999998</v>
      </c>
      <c r="G884" s="1">
        <v>5195.07</v>
      </c>
      <c r="H884" s="1">
        <f>Tabela1[[#This Row],[PESO UND]]/1000*(1129)</f>
        <v>656.51350000000002</v>
      </c>
      <c r="I884" s="1"/>
    </row>
    <row r="885" spans="1:9" x14ac:dyDescent="0.25">
      <c r="A885">
        <v>985</v>
      </c>
      <c r="B885" t="s">
        <v>860</v>
      </c>
      <c r="C885" t="str">
        <f t="shared" si="13"/>
        <v>16M²</v>
      </c>
      <c r="D885" s="2">
        <v>18.75</v>
      </c>
      <c r="E885" s="1">
        <v>818.52</v>
      </c>
      <c r="F885" s="1">
        <f>Tabela1[[#This Row],[PR.CUSTO+FRETE]]-Tabela1[[#This Row],[FRETE]]</f>
        <v>797.35124999999994</v>
      </c>
      <c r="G885" s="1">
        <v>1258.71</v>
      </c>
      <c r="H885" s="1">
        <f>Tabela1[[#This Row],[PESO UND]]/1000*(1129)</f>
        <v>21.168749999999999</v>
      </c>
      <c r="I885" s="1"/>
    </row>
    <row r="886" spans="1:9" x14ac:dyDescent="0.25">
      <c r="A886">
        <v>234</v>
      </c>
      <c r="B886" t="s">
        <v>861</v>
      </c>
      <c r="C886" t="str">
        <f t="shared" si="13"/>
        <v>16M²</v>
      </c>
      <c r="D886" s="2">
        <v>155.1</v>
      </c>
      <c r="E886" s="1">
        <v>3150.69</v>
      </c>
      <c r="F886" s="1">
        <f>Tabela1[[#This Row],[PR.CUSTO+FRETE]]-Tabela1[[#This Row],[FRETE]]</f>
        <v>2975.5821000000001</v>
      </c>
      <c r="G886" s="1">
        <v>4675.79</v>
      </c>
      <c r="H886" s="1">
        <f>Tabela1[[#This Row],[PESO UND]]/1000*(1129)</f>
        <v>175.10789999999997</v>
      </c>
      <c r="I886" s="1"/>
    </row>
    <row r="887" spans="1:9" x14ac:dyDescent="0.25">
      <c r="A887">
        <v>233</v>
      </c>
      <c r="B887" t="s">
        <v>862</v>
      </c>
      <c r="C887" t="str">
        <f t="shared" si="13"/>
        <v>16M²</v>
      </c>
      <c r="D887" s="2">
        <v>155.4</v>
      </c>
      <c r="E887" s="1">
        <v>3117.38</v>
      </c>
      <c r="F887" s="1">
        <f>Tabela1[[#This Row],[PR.CUSTO+FRETE]]-Tabela1[[#This Row],[FRETE]]</f>
        <v>2941.9333999999999</v>
      </c>
      <c r="G887" s="1">
        <v>4617.3100000000004</v>
      </c>
      <c r="H887" s="1">
        <f>Tabela1[[#This Row],[PESO UND]]/1000*(1129)</f>
        <v>175.44660000000002</v>
      </c>
      <c r="I887" s="1"/>
    </row>
    <row r="888" spans="1:9" x14ac:dyDescent="0.25">
      <c r="A888">
        <v>715</v>
      </c>
      <c r="B888" t="s">
        <v>863</v>
      </c>
      <c r="C888" t="str">
        <f t="shared" si="13"/>
        <v>17,8</v>
      </c>
      <c r="D888" s="2">
        <v>2149.31</v>
      </c>
      <c r="E888" s="1">
        <v>11307.99</v>
      </c>
      <c r="F888" s="1">
        <f>Tabela1[[#This Row],[PR.CUSTO+FRETE]]-Tabela1[[#This Row],[FRETE]]</f>
        <v>8881.4190099999996</v>
      </c>
      <c r="G888" s="1">
        <v>18343.3</v>
      </c>
      <c r="H888" s="1">
        <f>Tabela1[[#This Row],[PESO UND]]/1000*(1129)</f>
        <v>2426.5709899999997</v>
      </c>
      <c r="I888" s="1"/>
    </row>
    <row r="889" spans="1:9" x14ac:dyDescent="0.25">
      <c r="A889">
        <v>720</v>
      </c>
      <c r="B889" t="s">
        <v>864</v>
      </c>
      <c r="C889" t="str">
        <f t="shared" si="13"/>
        <v>17,8</v>
      </c>
      <c r="D889" s="2">
        <v>554.04999999999995</v>
      </c>
      <c r="E889" s="1">
        <v>3114.8</v>
      </c>
      <c r="F889" s="1">
        <f>Tabela1[[#This Row],[PR.CUSTO+FRETE]]-Tabela1[[#This Row],[FRETE]]</f>
        <v>2489.2775500000002</v>
      </c>
      <c r="G889" s="1">
        <v>5349.27</v>
      </c>
      <c r="H889" s="1">
        <f>Tabela1[[#This Row],[PESO UND]]/1000*(1129)</f>
        <v>625.52244999999994</v>
      </c>
      <c r="I889" s="1"/>
    </row>
    <row r="890" spans="1:9" x14ac:dyDescent="0.25">
      <c r="A890">
        <v>719</v>
      </c>
      <c r="B890" t="s">
        <v>865</v>
      </c>
      <c r="C890" t="str">
        <f t="shared" si="13"/>
        <v>17,8</v>
      </c>
      <c r="D890" s="2">
        <v>297.3</v>
      </c>
      <c r="E890" s="1">
        <v>2192.67</v>
      </c>
      <c r="F890" s="1">
        <f>Tabela1[[#This Row],[PR.CUSTO+FRETE]]-Tabela1[[#This Row],[FRETE]]</f>
        <v>1857.0183000000002</v>
      </c>
      <c r="G890" s="1">
        <v>3794.66</v>
      </c>
      <c r="H890" s="1">
        <f>Tabela1[[#This Row],[PESO UND]]/1000*(1129)</f>
        <v>335.65170000000001</v>
      </c>
      <c r="I890" s="1"/>
    </row>
    <row r="891" spans="1:9" x14ac:dyDescent="0.25">
      <c r="A891">
        <v>718</v>
      </c>
      <c r="B891" t="s">
        <v>866</v>
      </c>
      <c r="C891" t="str">
        <f t="shared" si="13"/>
        <v>17,8</v>
      </c>
      <c r="D891" s="2">
        <v>809</v>
      </c>
      <c r="E891" s="1">
        <v>4190.26</v>
      </c>
      <c r="F891" s="1">
        <f>Tabela1[[#This Row],[PR.CUSTO+FRETE]]-Tabela1[[#This Row],[FRETE]]</f>
        <v>3276.8990000000003</v>
      </c>
      <c r="G891" s="1">
        <v>7014.34</v>
      </c>
      <c r="H891" s="1">
        <f>Tabela1[[#This Row],[PESO UND]]/1000*(1129)</f>
        <v>913.3610000000001</v>
      </c>
      <c r="I891" s="1"/>
    </row>
    <row r="892" spans="1:9" x14ac:dyDescent="0.25">
      <c r="A892">
        <v>195</v>
      </c>
      <c r="B892" t="s">
        <v>867</v>
      </c>
      <c r="C892" t="str">
        <f t="shared" si="13"/>
        <v>17,8</v>
      </c>
      <c r="D892" s="2">
        <v>22.5</v>
      </c>
      <c r="E892" s="1">
        <v>982.22</v>
      </c>
      <c r="F892" s="1">
        <f>Tabela1[[#This Row],[PR.CUSTO+FRETE]]-Tabela1[[#This Row],[FRETE]]</f>
        <v>956.8175</v>
      </c>
      <c r="G892" s="1">
        <v>1510.45</v>
      </c>
      <c r="H892" s="1">
        <f>Tabela1[[#This Row],[PESO UND]]/1000*(1129)</f>
        <v>25.4025</v>
      </c>
      <c r="I892" s="1"/>
    </row>
    <row r="893" spans="1:9" x14ac:dyDescent="0.25">
      <c r="A893">
        <v>717</v>
      </c>
      <c r="B893" t="s">
        <v>868</v>
      </c>
      <c r="C893" t="str">
        <f t="shared" si="13"/>
        <v>17,8</v>
      </c>
      <c r="D893" s="2">
        <v>173.8</v>
      </c>
      <c r="E893" s="1">
        <v>3702.12</v>
      </c>
      <c r="F893" s="1">
        <f>Tabela1[[#This Row],[PR.CUSTO+FRETE]]-Tabela1[[#This Row],[FRETE]]</f>
        <v>3505.8997999999997</v>
      </c>
      <c r="G893" s="1">
        <v>5492.45</v>
      </c>
      <c r="H893" s="1">
        <f>Tabela1[[#This Row],[PESO UND]]/1000*(1129)</f>
        <v>196.22020000000001</v>
      </c>
      <c r="I893" s="1"/>
    </row>
    <row r="894" spans="1:9" x14ac:dyDescent="0.25">
      <c r="A894">
        <v>716</v>
      </c>
      <c r="B894" t="s">
        <v>869</v>
      </c>
      <c r="C894" t="str">
        <f t="shared" si="13"/>
        <v>17,8</v>
      </c>
      <c r="D894" s="2">
        <v>173.8</v>
      </c>
      <c r="E894" s="1">
        <v>3579.89</v>
      </c>
      <c r="F894" s="1">
        <f>Tabela1[[#This Row],[PR.CUSTO+FRETE]]-Tabela1[[#This Row],[FRETE]]</f>
        <v>3383.6697999999997</v>
      </c>
      <c r="G894" s="1">
        <v>5299.47</v>
      </c>
      <c r="H894" s="1">
        <f>Tabela1[[#This Row],[PESO UND]]/1000*(1129)</f>
        <v>196.22020000000001</v>
      </c>
      <c r="I894" s="1"/>
    </row>
    <row r="895" spans="1:9" x14ac:dyDescent="0.25">
      <c r="A895">
        <v>1054</v>
      </c>
      <c r="B895" t="s">
        <v>870</v>
      </c>
      <c r="C895" t="str">
        <f t="shared" si="13"/>
        <v>18M²</v>
      </c>
      <c r="D895" s="2">
        <v>2781.65</v>
      </c>
      <c r="E895" s="1">
        <v>15625.37</v>
      </c>
      <c r="F895" s="1">
        <f>Tabela1[[#This Row],[PR.CUSTO+FRETE]]-Tabela1[[#This Row],[FRETE]]</f>
        <v>12484.88715</v>
      </c>
      <c r="G895" s="1">
        <v>25509.08</v>
      </c>
      <c r="H895" s="1">
        <f>Tabela1[[#This Row],[PESO UND]]/1000*(1129)</f>
        <v>3140.4828499999999</v>
      </c>
      <c r="I895" s="1"/>
    </row>
    <row r="896" spans="1:9" x14ac:dyDescent="0.25">
      <c r="A896">
        <v>161</v>
      </c>
      <c r="B896" t="s">
        <v>871</v>
      </c>
      <c r="C896" t="str">
        <f t="shared" si="13"/>
        <v>18M²</v>
      </c>
      <c r="D896" s="2">
        <v>33.75</v>
      </c>
      <c r="E896" s="1">
        <v>1473.33</v>
      </c>
      <c r="F896" s="1">
        <f>Tabela1[[#This Row],[PR.CUSTO+FRETE]]-Tabela1[[#This Row],[FRETE]]</f>
        <v>1435.2262499999999</v>
      </c>
      <c r="G896" s="1">
        <v>2265.67</v>
      </c>
      <c r="H896" s="1">
        <f>Tabela1[[#This Row],[PESO UND]]/1000*(1129)</f>
        <v>38.103750000000005</v>
      </c>
      <c r="I896" s="1"/>
    </row>
    <row r="897" spans="1:9" x14ac:dyDescent="0.25">
      <c r="A897">
        <v>159</v>
      </c>
      <c r="B897" t="s">
        <v>872</v>
      </c>
      <c r="C897" t="str">
        <f t="shared" si="13"/>
        <v>18M²</v>
      </c>
      <c r="D897" s="2">
        <v>103.7</v>
      </c>
      <c r="E897" s="1">
        <v>2254.2600000000002</v>
      </c>
      <c r="F897" s="1">
        <f>Tabela1[[#This Row],[PR.CUSTO+FRETE]]-Tabela1[[#This Row],[FRETE]]</f>
        <v>2137.1827000000003</v>
      </c>
      <c r="G897" s="1">
        <v>3346.07</v>
      </c>
      <c r="H897" s="1">
        <f>Tabela1[[#This Row],[PESO UND]]/1000*(1129)</f>
        <v>117.07729999999999</v>
      </c>
      <c r="I897" s="1"/>
    </row>
    <row r="898" spans="1:9" x14ac:dyDescent="0.25">
      <c r="A898">
        <v>156</v>
      </c>
      <c r="B898" t="s">
        <v>873</v>
      </c>
      <c r="C898" t="str">
        <f t="shared" ref="C898:C941" si="14">IFERROR(MID(B898,FIND("(",B898)+1,4),"")</f>
        <v>18M²</v>
      </c>
      <c r="D898" s="2">
        <v>103.7</v>
      </c>
      <c r="E898" s="1">
        <v>2181.4299999999998</v>
      </c>
      <c r="F898" s="1">
        <f>Tabela1[[#This Row],[PR.CUSTO+FRETE]]-Tabela1[[#This Row],[FRETE]]</f>
        <v>2064.3526999999999</v>
      </c>
      <c r="G898" s="1">
        <v>3231.11</v>
      </c>
      <c r="H898" s="1">
        <f>Tabela1[[#This Row],[PESO UND]]/1000*(1129)</f>
        <v>117.07729999999999</v>
      </c>
      <c r="I898" s="1"/>
    </row>
    <row r="899" spans="1:9" x14ac:dyDescent="0.25">
      <c r="A899">
        <v>237</v>
      </c>
      <c r="B899" t="s">
        <v>956</v>
      </c>
      <c r="C899" t="str">
        <f t="shared" si="14"/>
        <v>27,0</v>
      </c>
      <c r="D899" s="2">
        <v>2983.65</v>
      </c>
      <c r="E899" s="1">
        <v>15825.32</v>
      </c>
      <c r="F899" s="1">
        <f>Tabela1[[#This Row],[PR.CUSTO+FRETE]]-Tabela1[[#This Row],[FRETE]]</f>
        <v>12456.77915</v>
      </c>
      <c r="G899" s="1">
        <v>25957.83</v>
      </c>
      <c r="H899" s="1">
        <f>Tabela1[[#This Row],[PESO UND]]/1000*(1129)</f>
        <v>3368.5408499999999</v>
      </c>
      <c r="I899" s="1"/>
    </row>
    <row r="900" spans="1:9" x14ac:dyDescent="0.25">
      <c r="A900">
        <v>242</v>
      </c>
      <c r="B900" t="s">
        <v>874</v>
      </c>
      <c r="C900" t="str">
        <f t="shared" si="14"/>
        <v/>
      </c>
      <c r="D900" s="2">
        <v>548.35</v>
      </c>
      <c r="E900" s="1">
        <v>2739.51</v>
      </c>
      <c r="F900" s="1">
        <f>Tabela1[[#This Row],[PR.CUSTO+FRETE]]-Tabela1[[#This Row],[FRETE]]</f>
        <v>2120.4228500000004</v>
      </c>
      <c r="G900" s="1">
        <v>4610.13</v>
      </c>
      <c r="H900" s="1">
        <f>Tabela1[[#This Row],[PESO UND]]/1000*(1129)</f>
        <v>619.08714999999995</v>
      </c>
      <c r="I900" s="1"/>
    </row>
    <row r="901" spans="1:9" x14ac:dyDescent="0.25">
      <c r="A901">
        <v>241</v>
      </c>
      <c r="B901" t="s">
        <v>875</v>
      </c>
      <c r="C901" t="str">
        <f t="shared" si="14"/>
        <v/>
      </c>
      <c r="D901" s="2">
        <v>654</v>
      </c>
      <c r="E901" s="1">
        <v>3570.93</v>
      </c>
      <c r="F901" s="1">
        <f>Tabela1[[#This Row],[PR.CUSTO+FRETE]]-Tabela1[[#This Row],[FRETE]]</f>
        <v>2832.5639999999999</v>
      </c>
      <c r="G901" s="1">
        <v>5956.48</v>
      </c>
      <c r="H901" s="1">
        <f>Tabela1[[#This Row],[PESO UND]]/1000*(1129)</f>
        <v>738.36599999999999</v>
      </c>
      <c r="I901" s="1"/>
    </row>
    <row r="902" spans="1:9" x14ac:dyDescent="0.25">
      <c r="A902">
        <v>240</v>
      </c>
      <c r="B902" t="s">
        <v>876</v>
      </c>
      <c r="C902" t="str">
        <f t="shared" si="14"/>
        <v/>
      </c>
      <c r="D902" s="2">
        <v>30</v>
      </c>
      <c r="E902" s="1">
        <v>1309.6300000000001</v>
      </c>
      <c r="F902" s="1">
        <f>Tabela1[[#This Row],[PR.CUSTO+FRETE]]-Tabela1[[#This Row],[FRETE]]</f>
        <v>1275.7600000000002</v>
      </c>
      <c r="G902" s="1">
        <v>2013.93</v>
      </c>
      <c r="H902" s="1">
        <f>Tabela1[[#This Row],[PESO UND]]/1000*(1129)</f>
        <v>33.869999999999997</v>
      </c>
      <c r="I902" s="1"/>
    </row>
    <row r="903" spans="1:9" x14ac:dyDescent="0.25">
      <c r="A903">
        <v>239</v>
      </c>
      <c r="B903" t="s">
        <v>877</v>
      </c>
      <c r="C903" t="str">
        <f t="shared" si="14"/>
        <v/>
      </c>
      <c r="D903" s="2">
        <v>246.8</v>
      </c>
      <c r="E903" s="1">
        <v>4615.49</v>
      </c>
      <c r="F903" s="1">
        <f>Tabela1[[#This Row],[PR.CUSTO+FRETE]]-Tabela1[[#This Row],[FRETE]]</f>
        <v>4336.8527999999997</v>
      </c>
      <c r="G903" s="1">
        <v>6846.03</v>
      </c>
      <c r="H903" s="1">
        <f>Tabela1[[#This Row],[PESO UND]]/1000*(1129)</f>
        <v>278.63720000000001</v>
      </c>
      <c r="I903" s="1"/>
    </row>
    <row r="904" spans="1:9" x14ac:dyDescent="0.25">
      <c r="A904">
        <v>238</v>
      </c>
      <c r="B904" t="s">
        <v>878</v>
      </c>
      <c r="C904" t="str">
        <f t="shared" si="14"/>
        <v/>
      </c>
      <c r="D904" s="2">
        <v>246.8</v>
      </c>
      <c r="E904" s="1">
        <v>4441.22</v>
      </c>
      <c r="F904" s="1">
        <f>Tabela1[[#This Row],[PR.CUSTO+FRETE]]-Tabela1[[#This Row],[FRETE]]</f>
        <v>4162.5828000000001</v>
      </c>
      <c r="G904" s="1">
        <v>6570.93</v>
      </c>
      <c r="H904" s="1">
        <f>Tabela1[[#This Row],[PESO UND]]/1000*(1129)</f>
        <v>278.63720000000001</v>
      </c>
      <c r="I904" s="1"/>
    </row>
    <row r="905" spans="1:9" x14ac:dyDescent="0.25">
      <c r="A905">
        <v>443</v>
      </c>
      <c r="B905" t="s">
        <v>957</v>
      </c>
      <c r="C905" t="str">
        <f t="shared" si="14"/>
        <v>9,0M</v>
      </c>
      <c r="D905" s="2">
        <v>1346.2</v>
      </c>
      <c r="E905" s="1">
        <v>7365.63</v>
      </c>
      <c r="F905" s="1">
        <f>Tabela1[[#This Row],[PR.CUSTO+FRETE]]-Tabela1[[#This Row],[FRETE]]</f>
        <v>5845.7701999999999</v>
      </c>
      <c r="G905" s="1">
        <v>12109.2</v>
      </c>
      <c r="H905" s="1">
        <f>Tabela1[[#This Row],[PESO UND]]/1000*(1129)</f>
        <v>1519.8598000000002</v>
      </c>
      <c r="I905" s="1"/>
    </row>
    <row r="906" spans="1:9" x14ac:dyDescent="0.25">
      <c r="A906">
        <v>444</v>
      </c>
      <c r="B906" t="s">
        <v>879</v>
      </c>
      <c r="C906" t="str">
        <f t="shared" si="14"/>
        <v>9M²)</v>
      </c>
      <c r="D906" s="2">
        <v>48.8</v>
      </c>
      <c r="E906" s="1">
        <v>870.91</v>
      </c>
      <c r="F906" s="1">
        <f>Tabela1[[#This Row],[PR.CUSTO+FRETE]]-Tabela1[[#This Row],[FRETE]]</f>
        <v>815.81479999999999</v>
      </c>
      <c r="G906" s="1">
        <v>1287.81</v>
      </c>
      <c r="H906" s="1">
        <f>Tabela1[[#This Row],[PESO UND]]/1000*(1129)</f>
        <v>55.095199999999998</v>
      </c>
      <c r="I906" s="1"/>
    </row>
    <row r="907" spans="1:9" x14ac:dyDescent="0.25">
      <c r="A907">
        <v>447</v>
      </c>
      <c r="B907" t="s">
        <v>880</v>
      </c>
      <c r="C907" t="str">
        <f t="shared" si="14"/>
        <v>9M²)</v>
      </c>
      <c r="D907" s="2">
        <v>471</v>
      </c>
      <c r="E907" s="1">
        <v>2585.62</v>
      </c>
      <c r="F907" s="1">
        <f>Tabela1[[#This Row],[PR.CUSTO+FRETE]]-Tabela1[[#This Row],[FRETE]]</f>
        <v>2053.8609999999999</v>
      </c>
      <c r="G907" s="1">
        <v>4311.42</v>
      </c>
      <c r="H907" s="1">
        <f>Tabela1[[#This Row],[PESO UND]]/1000*(1129)</f>
        <v>531.75900000000001</v>
      </c>
      <c r="I907" s="1"/>
    </row>
    <row r="908" spans="1:9" x14ac:dyDescent="0.25">
      <c r="A908">
        <v>446</v>
      </c>
      <c r="B908" t="s">
        <v>881</v>
      </c>
      <c r="C908" t="str">
        <f t="shared" si="14"/>
        <v>9M²)</v>
      </c>
      <c r="D908" s="2">
        <v>15</v>
      </c>
      <c r="E908" s="1">
        <v>654.82000000000005</v>
      </c>
      <c r="F908" s="1">
        <f>Tabela1[[#This Row],[PR.CUSTO+FRETE]]-Tabela1[[#This Row],[FRETE]]</f>
        <v>637.8850000000001</v>
      </c>
      <c r="G908" s="1">
        <v>1006.96</v>
      </c>
      <c r="H908" s="1">
        <f>Tabela1[[#This Row],[PESO UND]]/1000*(1129)</f>
        <v>16.934999999999999</v>
      </c>
      <c r="I908" s="1"/>
    </row>
    <row r="909" spans="1:9" x14ac:dyDescent="0.25">
      <c r="A909">
        <v>445</v>
      </c>
      <c r="B909" t="s">
        <v>882</v>
      </c>
      <c r="C909" t="str">
        <f t="shared" si="14"/>
        <v>9M²)</v>
      </c>
      <c r="D909" s="2">
        <v>48.8</v>
      </c>
      <c r="E909" s="1">
        <v>905.17</v>
      </c>
      <c r="F909" s="1">
        <f>Tabela1[[#This Row],[PR.CUSTO+FRETE]]-Tabela1[[#This Row],[FRETE]]</f>
        <v>850.07479999999998</v>
      </c>
      <c r="G909" s="1">
        <v>1341.91</v>
      </c>
      <c r="H909" s="1">
        <f>Tabela1[[#This Row],[PESO UND]]/1000*(1129)</f>
        <v>55.095199999999998</v>
      </c>
      <c r="I909" s="1"/>
    </row>
    <row r="910" spans="1:9" x14ac:dyDescent="0.25">
      <c r="A910">
        <v>1188</v>
      </c>
      <c r="B910" t="s">
        <v>883</v>
      </c>
      <c r="C910" t="str">
        <f t="shared" si="14"/>
        <v>21,0</v>
      </c>
      <c r="D910" s="2">
        <v>539</v>
      </c>
      <c r="E910" s="1">
        <v>3258.01</v>
      </c>
      <c r="F910" s="1">
        <f>Tabela1[[#This Row],[PR.CUSTO+FRETE]]-Tabela1[[#This Row],[FRETE]]</f>
        <v>2649.4790000000003</v>
      </c>
      <c r="G910" s="1">
        <v>5400.13</v>
      </c>
      <c r="H910" s="1">
        <f>Tabela1[[#This Row],[PESO UND]]/1000*(1129)</f>
        <v>608.53100000000006</v>
      </c>
      <c r="I910" s="1"/>
    </row>
    <row r="911" spans="1:9" x14ac:dyDescent="0.25">
      <c r="A911">
        <v>1184</v>
      </c>
      <c r="B911" t="s">
        <v>884</v>
      </c>
      <c r="C911" t="str">
        <f t="shared" si="14"/>
        <v>21,0</v>
      </c>
      <c r="D911" s="2">
        <v>3303.4</v>
      </c>
      <c r="E911" s="1">
        <v>18645.93</v>
      </c>
      <c r="F911" s="1">
        <f>Tabela1[[#This Row],[PR.CUSTO+FRETE]]-Tabela1[[#This Row],[FRETE]]</f>
        <v>14916.3914</v>
      </c>
      <c r="G911" s="1">
        <v>30356.13</v>
      </c>
      <c r="H911" s="1">
        <f>Tabela1[[#This Row],[PESO UND]]/1000*(1129)</f>
        <v>3729.5385999999999</v>
      </c>
      <c r="I911" s="1"/>
    </row>
    <row r="912" spans="1:9" x14ac:dyDescent="0.25">
      <c r="A912">
        <v>1187</v>
      </c>
      <c r="B912" t="s">
        <v>885</v>
      </c>
      <c r="C912" t="str">
        <f t="shared" si="14"/>
        <v>21,0</v>
      </c>
      <c r="D912" s="2">
        <v>41.25</v>
      </c>
      <c r="E912" s="1">
        <v>1800.74</v>
      </c>
      <c r="F912" s="1">
        <f>Tabela1[[#This Row],[PR.CUSTO+FRETE]]-Tabela1[[#This Row],[FRETE]]</f>
        <v>1754.16875</v>
      </c>
      <c r="G912" s="1">
        <v>2769.15</v>
      </c>
      <c r="H912" s="1">
        <f>Tabela1[[#This Row],[PESO UND]]/1000*(1129)</f>
        <v>46.571249999999999</v>
      </c>
      <c r="I912" s="1"/>
    </row>
    <row r="913" spans="1:9" x14ac:dyDescent="0.25">
      <c r="A913">
        <v>1186</v>
      </c>
      <c r="B913" t="s">
        <v>886</v>
      </c>
      <c r="C913" t="str">
        <f t="shared" si="14"/>
        <v>21,0</v>
      </c>
      <c r="D913" s="2">
        <v>182.7</v>
      </c>
      <c r="E913" s="1">
        <v>3429.5</v>
      </c>
      <c r="F913" s="1">
        <f>Tabela1[[#This Row],[PR.CUSTO+FRETE]]-Tabela1[[#This Row],[FRETE]]</f>
        <v>3223.2316999999998</v>
      </c>
      <c r="G913" s="1">
        <v>5088.1099999999997</v>
      </c>
      <c r="H913" s="1">
        <f>Tabela1[[#This Row],[PESO UND]]/1000*(1129)</f>
        <v>206.26830000000001</v>
      </c>
      <c r="I913" s="1"/>
    </row>
    <row r="914" spans="1:9" x14ac:dyDescent="0.25">
      <c r="A914">
        <v>1185</v>
      </c>
      <c r="B914" t="s">
        <v>887</v>
      </c>
      <c r="C914" t="str">
        <f t="shared" si="14"/>
        <v>21,0</v>
      </c>
      <c r="D914" s="2">
        <v>182.7</v>
      </c>
      <c r="E914" s="1">
        <v>3313.82</v>
      </c>
      <c r="F914" s="1">
        <f>Tabela1[[#This Row],[PR.CUSTO+FRETE]]-Tabela1[[#This Row],[FRETE]]</f>
        <v>3107.5517</v>
      </c>
      <c r="G914" s="1">
        <v>4905.53</v>
      </c>
      <c r="H914" s="1">
        <f>Tabela1[[#This Row],[PESO UND]]/1000*(1129)</f>
        <v>206.26830000000001</v>
      </c>
      <c r="I914" s="1"/>
    </row>
    <row r="915" spans="1:9" x14ac:dyDescent="0.25">
      <c r="A915">
        <v>1096</v>
      </c>
      <c r="B915" t="s">
        <v>888</v>
      </c>
      <c r="C915" t="str">
        <f t="shared" si="14"/>
        <v/>
      </c>
      <c r="D915" s="2">
        <v>556.74</v>
      </c>
      <c r="E915" s="1">
        <v>4447.57</v>
      </c>
      <c r="F915" s="1">
        <f>Tabela1[[#This Row],[PR.CUSTO+FRETE]]-Tabela1[[#This Row],[FRETE]]</f>
        <v>3819.0105399999998</v>
      </c>
      <c r="G915" s="1">
        <v>7919.08</v>
      </c>
      <c r="H915" s="1">
        <f>Tabela1[[#This Row],[PESO UND]]/1000*(1129)</f>
        <v>628.55946000000006</v>
      </c>
      <c r="I915" s="1"/>
    </row>
    <row r="916" spans="1:9" x14ac:dyDescent="0.25">
      <c r="A916">
        <v>886</v>
      </c>
      <c r="B916" t="s">
        <v>889</v>
      </c>
      <c r="C916" t="str">
        <f t="shared" si="14"/>
        <v>PERS</v>
      </c>
      <c r="D916" s="2">
        <v>22.5</v>
      </c>
      <c r="E916" s="1">
        <v>982.22</v>
      </c>
      <c r="F916" s="1">
        <f>Tabela1[[#This Row],[PR.CUSTO+FRETE]]-Tabela1[[#This Row],[FRETE]]</f>
        <v>956.8175</v>
      </c>
      <c r="G916" s="1">
        <v>1510.45</v>
      </c>
      <c r="H916" s="1">
        <f>Tabela1[[#This Row],[PESO UND]]/1000*(1129)</f>
        <v>25.4025</v>
      </c>
      <c r="I916" s="1"/>
    </row>
    <row r="917" spans="1:9" x14ac:dyDescent="0.25">
      <c r="A917">
        <v>883</v>
      </c>
      <c r="B917" t="s">
        <v>890</v>
      </c>
      <c r="C917" t="str">
        <f t="shared" si="14"/>
        <v>PERS</v>
      </c>
      <c r="D917" s="2">
        <v>3214.07</v>
      </c>
      <c r="E917" s="1">
        <v>17347.21</v>
      </c>
      <c r="F917" s="1">
        <f>Tabela1[[#This Row],[PR.CUSTO+FRETE]]-Tabela1[[#This Row],[FRETE]]</f>
        <v>13718.524969999999</v>
      </c>
      <c r="G917" s="1">
        <v>28163.53</v>
      </c>
      <c r="H917" s="1">
        <f>Tabela1[[#This Row],[PESO UND]]/1000*(1129)</f>
        <v>3628.6850300000001</v>
      </c>
      <c r="I917" s="1"/>
    </row>
    <row r="918" spans="1:9" x14ac:dyDescent="0.25">
      <c r="A918">
        <v>888</v>
      </c>
      <c r="B918" t="s">
        <v>891</v>
      </c>
      <c r="C918" t="str">
        <f t="shared" si="14"/>
        <v>PERS</v>
      </c>
      <c r="D918" s="2">
        <v>511.05</v>
      </c>
      <c r="E918" s="1">
        <v>2588.0100000000002</v>
      </c>
      <c r="F918" s="1">
        <f>Tabela1[[#This Row],[PR.CUSTO+FRETE]]-Tabela1[[#This Row],[FRETE]]</f>
        <v>2011.0345500000003</v>
      </c>
      <c r="G918" s="1">
        <v>4368.3100000000004</v>
      </c>
      <c r="H918" s="1">
        <f>Tabela1[[#This Row],[PESO UND]]/1000*(1129)</f>
        <v>576.97545000000002</v>
      </c>
      <c r="I918" s="1"/>
    </row>
    <row r="919" spans="1:9" x14ac:dyDescent="0.25">
      <c r="A919">
        <v>887</v>
      </c>
      <c r="B919" t="s">
        <v>892</v>
      </c>
      <c r="C919" t="str">
        <f t="shared" si="14"/>
        <v>PERS</v>
      </c>
      <c r="D919" s="2">
        <v>627</v>
      </c>
      <c r="E919" s="1">
        <v>3326.23</v>
      </c>
      <c r="F919" s="1">
        <f>Tabela1[[#This Row],[PR.CUSTO+FRETE]]-Tabela1[[#This Row],[FRETE]]</f>
        <v>2618.3469999999998</v>
      </c>
      <c r="G919" s="1">
        <v>5558.92</v>
      </c>
      <c r="H919" s="1">
        <f>Tabela1[[#This Row],[PESO UND]]/1000*(1129)</f>
        <v>707.88300000000004</v>
      </c>
      <c r="I919" s="1"/>
    </row>
    <row r="920" spans="1:9" x14ac:dyDescent="0.25">
      <c r="A920">
        <v>885</v>
      </c>
      <c r="B920" t="s">
        <v>893</v>
      </c>
      <c r="C920" t="str">
        <f t="shared" si="14"/>
        <v>PERS</v>
      </c>
      <c r="D920" s="2">
        <v>164.5</v>
      </c>
      <c r="E920" s="1">
        <v>3081.39</v>
      </c>
      <c r="F920" s="1">
        <f>Tabela1[[#This Row],[PR.CUSTO+FRETE]]-Tabela1[[#This Row],[FRETE]]</f>
        <v>2895.6695</v>
      </c>
      <c r="G920" s="1">
        <v>4571.04</v>
      </c>
      <c r="H920" s="1">
        <f>Tabela1[[#This Row],[PESO UND]]/1000*(1129)</f>
        <v>185.72050000000002</v>
      </c>
      <c r="I920" s="1"/>
    </row>
    <row r="921" spans="1:9" x14ac:dyDescent="0.25">
      <c r="A921">
        <v>884</v>
      </c>
      <c r="B921" t="s">
        <v>894</v>
      </c>
      <c r="C921" t="str">
        <f t="shared" si="14"/>
        <v>PERS</v>
      </c>
      <c r="D921" s="2">
        <v>164.5</v>
      </c>
      <c r="E921" s="1">
        <v>2965.11</v>
      </c>
      <c r="F921" s="1">
        <f>Tabela1[[#This Row],[PR.CUSTO+FRETE]]-Tabela1[[#This Row],[FRETE]]</f>
        <v>2779.3895000000002</v>
      </c>
      <c r="G921" s="1">
        <v>4387.4799999999996</v>
      </c>
      <c r="H921" s="1">
        <f>Tabela1[[#This Row],[PESO UND]]/1000*(1129)</f>
        <v>185.72050000000002</v>
      </c>
      <c r="I921" s="1"/>
    </row>
    <row r="922" spans="1:9" x14ac:dyDescent="0.25">
      <c r="A922">
        <v>258</v>
      </c>
      <c r="B922" t="s">
        <v>958</v>
      </c>
      <c r="C922" t="str">
        <f t="shared" si="14"/>
        <v>75,1</v>
      </c>
      <c r="D922" s="2">
        <v>11360.35</v>
      </c>
      <c r="E922" s="1">
        <v>63172.65</v>
      </c>
      <c r="F922" s="1">
        <f>Tabela1[[#This Row],[PR.CUSTO+FRETE]]-Tabela1[[#This Row],[FRETE]]</f>
        <v>50346.814850000002</v>
      </c>
      <c r="G922" s="1">
        <v>101599.14</v>
      </c>
      <c r="H922" s="1">
        <f>Tabela1[[#This Row],[PESO UND]]/1000*(1129)</f>
        <v>12825.835150000001</v>
      </c>
      <c r="I922" s="1"/>
    </row>
    <row r="923" spans="1:9" x14ac:dyDescent="0.25">
      <c r="A923">
        <v>262</v>
      </c>
      <c r="B923" t="s">
        <v>895</v>
      </c>
      <c r="C923" t="str">
        <f t="shared" si="14"/>
        <v/>
      </c>
      <c r="D923" s="2">
        <v>2095</v>
      </c>
      <c r="E923" s="1">
        <v>11693.76</v>
      </c>
      <c r="F923" s="1">
        <f>Tabela1[[#This Row],[PR.CUSTO+FRETE]]-Tabela1[[#This Row],[FRETE]]</f>
        <v>9328.505000000001</v>
      </c>
      <c r="G923" s="1">
        <v>19477.939999999999</v>
      </c>
      <c r="H923" s="1">
        <f>Tabela1[[#This Row],[PESO UND]]/1000*(1129)</f>
        <v>2365.2550000000001</v>
      </c>
      <c r="I923" s="1"/>
    </row>
    <row r="924" spans="1:9" x14ac:dyDescent="0.25">
      <c r="A924">
        <v>261</v>
      </c>
      <c r="B924" t="s">
        <v>896</v>
      </c>
      <c r="C924" t="str">
        <f t="shared" si="14"/>
        <v/>
      </c>
      <c r="D924" s="2">
        <v>52.5</v>
      </c>
      <c r="E924" s="1">
        <v>2291.85</v>
      </c>
      <c r="F924" s="1">
        <f>Tabela1[[#This Row],[PR.CUSTO+FRETE]]-Tabela1[[#This Row],[FRETE]]</f>
        <v>2232.5774999999999</v>
      </c>
      <c r="G924" s="1">
        <v>3524.38</v>
      </c>
      <c r="H924" s="1">
        <f>Tabela1[[#This Row],[PESO UND]]/1000*(1129)</f>
        <v>59.272500000000001</v>
      </c>
      <c r="I924" s="1"/>
    </row>
    <row r="925" spans="1:9" x14ac:dyDescent="0.25">
      <c r="A925">
        <v>260</v>
      </c>
      <c r="B925" t="s">
        <v>897</v>
      </c>
      <c r="C925" t="str">
        <f t="shared" si="14"/>
        <v/>
      </c>
      <c r="D925" s="2">
        <v>396</v>
      </c>
      <c r="E925" s="1">
        <v>7420.62</v>
      </c>
      <c r="F925" s="1">
        <f>Tabela1[[#This Row],[PR.CUSTO+FRETE]]-Tabela1[[#This Row],[FRETE]]</f>
        <v>6973.5360000000001</v>
      </c>
      <c r="G925" s="1">
        <v>11008.23</v>
      </c>
      <c r="H925" s="1">
        <f>Tabela1[[#This Row],[PESO UND]]/1000*(1129)</f>
        <v>447.084</v>
      </c>
      <c r="I925" s="1"/>
    </row>
    <row r="926" spans="1:9" x14ac:dyDescent="0.25">
      <c r="A926">
        <v>259</v>
      </c>
      <c r="B926" t="s">
        <v>898</v>
      </c>
      <c r="C926" t="str">
        <f t="shared" si="14"/>
        <v/>
      </c>
      <c r="D926" s="2">
        <v>396</v>
      </c>
      <c r="E926" s="1">
        <v>7140.62</v>
      </c>
      <c r="F926" s="1">
        <f>Tabela1[[#This Row],[PR.CUSTO+FRETE]]-Tabela1[[#This Row],[FRETE]]</f>
        <v>6693.5360000000001</v>
      </c>
      <c r="G926" s="1">
        <v>10566.23</v>
      </c>
      <c r="H926" s="1">
        <f>Tabela1[[#This Row],[PESO UND]]/1000*(1129)</f>
        <v>447.084</v>
      </c>
      <c r="I926" s="1"/>
    </row>
    <row r="927" spans="1:9" x14ac:dyDescent="0.25">
      <c r="A927">
        <v>453</v>
      </c>
      <c r="B927" t="s">
        <v>899</v>
      </c>
      <c r="C927" t="str">
        <f t="shared" si="14"/>
        <v>50,4</v>
      </c>
      <c r="D927" s="2">
        <v>8505.09</v>
      </c>
      <c r="E927" s="1">
        <v>43905.48</v>
      </c>
      <c r="F927" s="1">
        <f>Tabela1[[#This Row],[PR.CUSTO+FRETE]]-Tabela1[[#This Row],[FRETE]]</f>
        <v>34303.233390000001</v>
      </c>
      <c r="G927" s="1">
        <v>65176.63</v>
      </c>
      <c r="H927" s="1">
        <f>Tabela1[[#This Row],[PESO UND]]/1000*(1129)</f>
        <v>9602.2466100000001</v>
      </c>
      <c r="I927" s="1"/>
    </row>
    <row r="928" spans="1:9" x14ac:dyDescent="0.25">
      <c r="A928">
        <v>1056</v>
      </c>
      <c r="B928" t="s">
        <v>900</v>
      </c>
      <c r="C928" t="str">
        <f t="shared" si="14"/>
        <v>50,4</v>
      </c>
      <c r="D928" s="2">
        <v>44</v>
      </c>
      <c r="E928" s="1">
        <v>5674.88</v>
      </c>
      <c r="F928" s="1">
        <f>Tabela1[[#This Row],[PR.CUSTO+FRETE]]-Tabela1[[#This Row],[FRETE]]</f>
        <v>5625.2039999999997</v>
      </c>
      <c r="G928" s="1">
        <v>8879.7800000000007</v>
      </c>
      <c r="H928" s="1">
        <f>Tabela1[[#This Row],[PESO UND]]/1000*(1129)</f>
        <v>49.675999999999995</v>
      </c>
      <c r="I928" s="1"/>
    </row>
    <row r="929" spans="1:9" x14ac:dyDescent="0.25">
      <c r="A929">
        <v>581</v>
      </c>
      <c r="B929" t="s">
        <v>901</v>
      </c>
      <c r="C929" t="str">
        <f t="shared" si="14"/>
        <v>50,4</v>
      </c>
      <c r="D929" s="2">
        <v>391.4</v>
      </c>
      <c r="E929" s="1">
        <v>7378.18</v>
      </c>
      <c r="F929" s="1">
        <f>Tabela1[[#This Row],[PR.CUSTO+FRETE]]-Tabela1[[#This Row],[FRETE]]</f>
        <v>6936.2894000000006</v>
      </c>
      <c r="G929" s="1">
        <v>10949.39</v>
      </c>
      <c r="H929" s="1">
        <f>Tabela1[[#This Row],[PESO UND]]/1000*(1129)</f>
        <v>441.89059999999995</v>
      </c>
      <c r="I929" s="1"/>
    </row>
    <row r="930" spans="1:9" x14ac:dyDescent="0.25">
      <c r="A930">
        <v>579</v>
      </c>
      <c r="B930" t="s">
        <v>902</v>
      </c>
      <c r="C930" t="str">
        <f t="shared" si="14"/>
        <v>50,4</v>
      </c>
      <c r="D930" s="2">
        <v>391.4</v>
      </c>
      <c r="E930" s="1">
        <v>7133.06</v>
      </c>
      <c r="F930" s="1">
        <f>Tabela1[[#This Row],[PR.CUSTO+FRETE]]-Tabela1[[#This Row],[FRETE]]</f>
        <v>6691.1694000000007</v>
      </c>
      <c r="G930" s="1">
        <v>10562.47</v>
      </c>
      <c r="H930" s="1">
        <f>Tabela1[[#This Row],[PESO UND]]/1000*(1129)</f>
        <v>441.89059999999995</v>
      </c>
      <c r="I930" s="1"/>
    </row>
    <row r="931" spans="1:9" x14ac:dyDescent="0.25">
      <c r="A931">
        <v>902</v>
      </c>
      <c r="B931" t="s">
        <v>903</v>
      </c>
      <c r="C931" t="str">
        <f t="shared" si="14"/>
        <v/>
      </c>
      <c r="D931" s="2">
        <v>0</v>
      </c>
      <c r="E931" s="1">
        <v>0</v>
      </c>
      <c r="F931" s="1">
        <f>Tabela1[[#This Row],[PR.CUSTO+FRETE]]-Tabela1[[#This Row],[FRETE]]</f>
        <v>0</v>
      </c>
      <c r="G931" s="1">
        <v>8.6189999999999998</v>
      </c>
      <c r="H931" s="1">
        <f>Tabela1[[#This Row],[PESO UND]]/1000*(1129)</f>
        <v>0</v>
      </c>
      <c r="I931" s="1"/>
    </row>
    <row r="932" spans="1:9" x14ac:dyDescent="0.25">
      <c r="A932">
        <v>1151</v>
      </c>
      <c r="B932" t="s">
        <v>904</v>
      </c>
      <c r="C932" t="str">
        <f t="shared" si="14"/>
        <v/>
      </c>
      <c r="D932" s="2">
        <v>4178.75</v>
      </c>
      <c r="E932" s="1">
        <v>22525.7</v>
      </c>
      <c r="F932" s="1">
        <f>Tabela1[[#This Row],[PR.CUSTO+FRETE]]-Tabela1[[#This Row],[FRETE]]</f>
        <v>17807.891250000001</v>
      </c>
      <c r="G932" s="1">
        <v>39340.980000000003</v>
      </c>
      <c r="H932" s="1">
        <f>Tabela1[[#This Row],[PESO UND]]/1000*(1129)</f>
        <v>4717.8087500000001</v>
      </c>
      <c r="I932" s="1"/>
    </row>
    <row r="933" spans="1:9" x14ac:dyDescent="0.25">
      <c r="A933">
        <v>1161</v>
      </c>
      <c r="B933" t="s">
        <v>905</v>
      </c>
      <c r="C933" t="str">
        <f t="shared" si="14"/>
        <v/>
      </c>
      <c r="D933" s="2">
        <v>9972.77</v>
      </c>
      <c r="E933" s="1">
        <v>45559.88</v>
      </c>
      <c r="F933" s="1">
        <f>Tabela1[[#This Row],[PR.CUSTO+FRETE]]-Tabela1[[#This Row],[FRETE]]</f>
        <v>34300.622669999997</v>
      </c>
      <c r="G933" s="1">
        <v>75764.740000000005</v>
      </c>
      <c r="H933" s="1">
        <f>Tabela1[[#This Row],[PESO UND]]/1000*(1129)</f>
        <v>11259.25733</v>
      </c>
      <c r="I933" s="1"/>
    </row>
    <row r="934" spans="1:9" x14ac:dyDescent="0.25">
      <c r="A934">
        <v>1159</v>
      </c>
      <c r="B934" t="s">
        <v>906</v>
      </c>
      <c r="C934" t="str">
        <f t="shared" si="14"/>
        <v/>
      </c>
      <c r="D934" s="2">
        <v>8521.64</v>
      </c>
      <c r="E934" s="1">
        <v>36862.25</v>
      </c>
      <c r="F934" s="1">
        <f>Tabela1[[#This Row],[PR.CUSTO+FRETE]]-Tabela1[[#This Row],[FRETE]]</f>
        <v>27241.318440000003</v>
      </c>
      <c r="G934" s="1">
        <v>60172.65</v>
      </c>
      <c r="H934" s="1">
        <f>Tabela1[[#This Row],[PESO UND]]/1000*(1129)</f>
        <v>9620.9315599999991</v>
      </c>
      <c r="I934" s="1"/>
    </row>
    <row r="935" spans="1:9" x14ac:dyDescent="0.25">
      <c r="A935">
        <v>1160</v>
      </c>
      <c r="B935" t="s">
        <v>907</v>
      </c>
      <c r="C935" t="str">
        <f t="shared" si="14"/>
        <v/>
      </c>
      <c r="D935" s="2">
        <v>12492.86</v>
      </c>
      <c r="E935" s="1">
        <v>57625.42</v>
      </c>
      <c r="F935" s="1">
        <f>Tabela1[[#This Row],[PR.CUSTO+FRETE]]-Tabela1[[#This Row],[FRETE]]</f>
        <v>43520.981059999998</v>
      </c>
      <c r="G935" s="1">
        <v>96178.26</v>
      </c>
      <c r="H935" s="1">
        <f>Tabela1[[#This Row],[PESO UND]]/1000*(1129)</f>
        <v>14104.43894</v>
      </c>
      <c r="I935" s="1"/>
    </row>
    <row r="936" spans="1:9" x14ac:dyDescent="0.25">
      <c r="A936">
        <v>1220</v>
      </c>
      <c r="B936" t="s">
        <v>908</v>
      </c>
      <c r="C936" t="str">
        <f t="shared" si="14"/>
        <v/>
      </c>
      <c r="D936" s="2">
        <v>3639.5</v>
      </c>
      <c r="E936" s="1">
        <v>13703.66</v>
      </c>
      <c r="F936" s="1">
        <f>Tabela1[[#This Row],[PR.CUSTO+FRETE]]-Tabela1[[#This Row],[FRETE]]</f>
        <v>9594.664499999999</v>
      </c>
      <c r="G936" s="1">
        <v>21190.81</v>
      </c>
      <c r="H936" s="1">
        <f>Tabela1[[#This Row],[PESO UND]]/1000*(1129)</f>
        <v>4108.9955</v>
      </c>
      <c r="I936" s="1"/>
    </row>
    <row r="937" spans="1:9" x14ac:dyDescent="0.25">
      <c r="A937">
        <v>1153</v>
      </c>
      <c r="B937" t="s">
        <v>909</v>
      </c>
      <c r="C937" t="str">
        <f t="shared" si="14"/>
        <v/>
      </c>
      <c r="D937" s="2">
        <v>5540.35</v>
      </c>
      <c r="E937" s="1">
        <v>24372.99</v>
      </c>
      <c r="F937" s="1">
        <f>Tabela1[[#This Row],[PR.CUSTO+FRETE]]-Tabela1[[#This Row],[FRETE]]</f>
        <v>18117.934850000001</v>
      </c>
      <c r="G937" s="1">
        <v>40022.25</v>
      </c>
      <c r="H937" s="1">
        <f>Tabela1[[#This Row],[PESO UND]]/1000*(1129)</f>
        <v>6255.0551500000001</v>
      </c>
      <c r="I937" s="1"/>
    </row>
    <row r="938" spans="1:9" x14ac:dyDescent="0.25">
      <c r="A938">
        <v>1156</v>
      </c>
      <c r="B938" t="s">
        <v>910</v>
      </c>
      <c r="C938" t="str">
        <f t="shared" si="14"/>
        <v/>
      </c>
      <c r="D938" s="2">
        <v>4614</v>
      </c>
      <c r="E938" s="1">
        <v>20878.12</v>
      </c>
      <c r="F938" s="1">
        <f>Tabela1[[#This Row],[PR.CUSTO+FRETE]]-Tabela1[[#This Row],[FRETE]]</f>
        <v>15668.913999999999</v>
      </c>
      <c r="G938" s="1">
        <v>34607.26</v>
      </c>
      <c r="H938" s="1">
        <f>Tabela1[[#This Row],[PESO UND]]/1000*(1129)</f>
        <v>5209.2060000000001</v>
      </c>
      <c r="I938" s="1"/>
    </row>
    <row r="939" spans="1:9" x14ac:dyDescent="0.25">
      <c r="A939">
        <v>1152</v>
      </c>
      <c r="B939" t="s">
        <v>911</v>
      </c>
      <c r="C939" t="str">
        <f t="shared" si="14"/>
        <v/>
      </c>
      <c r="D939" s="2">
        <v>4636.1000000000004</v>
      </c>
      <c r="E939" s="1">
        <v>20458.990000000002</v>
      </c>
      <c r="F939" s="1">
        <f>Tabela1[[#This Row],[PR.CUSTO+FRETE]]-Tabela1[[#This Row],[FRETE]]</f>
        <v>15224.8331</v>
      </c>
      <c r="G939" s="1">
        <v>33627.46</v>
      </c>
      <c r="H939" s="1">
        <f>Tabela1[[#This Row],[PESO UND]]/1000*(1129)</f>
        <v>5234.1569000000009</v>
      </c>
      <c r="I939" s="1"/>
    </row>
    <row r="940" spans="1:9" x14ac:dyDescent="0.25">
      <c r="A940">
        <v>1256</v>
      </c>
      <c r="B940" t="s">
        <v>912</v>
      </c>
      <c r="C940" t="str">
        <f t="shared" si="14"/>
        <v>110,</v>
      </c>
      <c r="D940" s="2">
        <v>6457.45</v>
      </c>
      <c r="E940" s="1">
        <v>28778.86</v>
      </c>
      <c r="F940" s="1">
        <f>Tabela1[[#This Row],[PR.CUSTO+FRETE]]-Tabela1[[#This Row],[FRETE]]</f>
        <v>21488.398950000003</v>
      </c>
      <c r="G940" s="1">
        <v>47468.17</v>
      </c>
      <c r="H940" s="1">
        <f>Tabela1[[#This Row],[PESO UND]]/1000*(1129)</f>
        <v>7290.4610499999999</v>
      </c>
      <c r="I940" s="1"/>
    </row>
    <row r="941" spans="1:9" x14ac:dyDescent="0.25">
      <c r="A941">
        <v>1158</v>
      </c>
      <c r="B941" t="s">
        <v>913</v>
      </c>
      <c r="C941" t="str">
        <f t="shared" si="14"/>
        <v/>
      </c>
      <c r="D941" s="2">
        <v>1623.6</v>
      </c>
      <c r="E941" s="1">
        <v>7341.38</v>
      </c>
      <c r="F941" s="1">
        <f>Tabela1[[#This Row],[PR.CUSTO+FRETE]]-Tabela1[[#This Row],[FRETE]]</f>
        <v>5508.3356000000003</v>
      </c>
      <c r="G941" s="1">
        <v>12166</v>
      </c>
      <c r="H941" s="1">
        <f>Tabela1[[#This Row],[PESO UND]]/1000*(1129)</f>
        <v>1833.0444</v>
      </c>
      <c r="I941" s="1"/>
    </row>
    <row r="942" spans="1:9" x14ac:dyDescent="0.25">
      <c r="A942">
        <v>1075</v>
      </c>
      <c r="B942" t="s">
        <v>914</v>
      </c>
      <c r="D942" s="2">
        <v>3046.65</v>
      </c>
      <c r="E942" s="1">
        <v>13962.43</v>
      </c>
      <c r="F942" s="1">
        <f>Tabela1[[#This Row],[PR.CUSTO+FRETE]]-Tabela1[[#This Row],[FRETE]]</f>
        <v>10522.76215</v>
      </c>
      <c r="G942" s="1">
        <v>23246.1</v>
      </c>
      <c r="H942" s="1">
        <f>Tabela1[[#This Row],[PESO UND]]/1000*(1129)</f>
        <v>3439.6678500000003</v>
      </c>
      <c r="I942" s="1"/>
    </row>
    <row r="943" spans="1:9" x14ac:dyDescent="0.25">
      <c r="A943">
        <v>1155</v>
      </c>
      <c r="B943" t="s">
        <v>915</v>
      </c>
      <c r="D943" s="2">
        <v>2422.5500000000002</v>
      </c>
      <c r="E943" s="1">
        <v>13021.95</v>
      </c>
      <c r="F943" s="1">
        <f>Tabela1[[#This Row],[PR.CUSTO+FRETE]]-Tabela1[[#This Row],[FRETE]]</f>
        <v>10286.89105</v>
      </c>
      <c r="G943" s="1">
        <v>22722.81</v>
      </c>
      <c r="H943" s="1">
        <f>Tabela1[[#This Row],[PESO UND]]/1000*(1129)</f>
        <v>2735.0589500000001</v>
      </c>
      <c r="I943" s="1"/>
    </row>
    <row r="944" spans="1:9" x14ac:dyDescent="0.25">
      <c r="A944">
        <v>1154</v>
      </c>
      <c r="B944" t="s">
        <v>916</v>
      </c>
      <c r="D944" s="2">
        <v>8413.7999999999993</v>
      </c>
      <c r="E944" s="1">
        <v>41670.29</v>
      </c>
      <c r="F944" s="1">
        <f>Tabela1[[#This Row],[PR.CUSTO+FRETE]]-Tabela1[[#This Row],[FRETE]]</f>
        <v>32171.109800000002</v>
      </c>
      <c r="G944" s="1">
        <v>71074.22</v>
      </c>
      <c r="H944" s="1">
        <f>Tabela1[[#This Row],[PESO UND]]/1000*(1129)</f>
        <v>9499.1801999999989</v>
      </c>
      <c r="I944" s="1"/>
    </row>
    <row r="945" spans="1:9" x14ac:dyDescent="0.25">
      <c r="A945">
        <v>952</v>
      </c>
      <c r="B945" t="s">
        <v>917</v>
      </c>
      <c r="D945" s="2">
        <v>0</v>
      </c>
      <c r="E945" s="1">
        <v>460</v>
      </c>
      <c r="F945" s="1">
        <f>Tabela1[[#This Row],[PR.CUSTO+FRETE]]-Tabela1[[#This Row],[FRETE]]</f>
        <v>460</v>
      </c>
      <c r="G945" s="1">
        <v>1016.6</v>
      </c>
      <c r="H945" s="1">
        <f>Tabela1[[#This Row],[PESO UND]]/1000*(1129)</f>
        <v>0</v>
      </c>
      <c r="I945" s="1"/>
    </row>
    <row r="946" spans="1:9" x14ac:dyDescent="0.25">
      <c r="A946">
        <v>1268</v>
      </c>
      <c r="B946" t="s">
        <v>918</v>
      </c>
      <c r="D946" s="2">
        <v>0</v>
      </c>
      <c r="E946" s="1">
        <v>575</v>
      </c>
      <c r="F946" s="1">
        <f>Tabela1[[#This Row],[PR.CUSTO+FRETE]]-Tabela1[[#This Row],[FRETE]]</f>
        <v>575</v>
      </c>
      <c r="G946" s="1">
        <v>1270.75</v>
      </c>
      <c r="H946" s="1">
        <f>Tabela1[[#This Row],[PESO UND]]/1000*(1129)</f>
        <v>0</v>
      </c>
      <c r="I946" s="1"/>
    </row>
    <row r="947" spans="1:9" x14ac:dyDescent="0.25">
      <c r="A947">
        <v>186</v>
      </c>
      <c r="B947" t="s">
        <v>919</v>
      </c>
      <c r="D947" s="2">
        <v>0</v>
      </c>
      <c r="E947" s="1">
        <v>7000</v>
      </c>
      <c r="F947" s="1">
        <f>Tabela1[[#This Row],[PR.CUSTO+FRETE]]-Tabela1[[#This Row],[FRETE]]</f>
        <v>7000</v>
      </c>
      <c r="G947" s="1">
        <v>10000</v>
      </c>
      <c r="H947" s="1">
        <f>Tabela1[[#This Row],[PESO UND]]/1000*(1129)</f>
        <v>0</v>
      </c>
      <c r="I947" s="1"/>
    </row>
    <row r="948" spans="1:9" x14ac:dyDescent="0.25">
      <c r="A948">
        <v>1066</v>
      </c>
      <c r="B948" t="s">
        <v>920</v>
      </c>
      <c r="D948" s="2">
        <v>283.18</v>
      </c>
      <c r="E948" s="1">
        <v>9757.7000000000007</v>
      </c>
      <c r="F948" s="1">
        <f>Tabela1[[#This Row],[PR.CUSTO+FRETE]]-Tabela1[[#This Row],[FRETE]]</f>
        <v>9437.9897799999999</v>
      </c>
      <c r="G948" s="1">
        <v>14839.53</v>
      </c>
      <c r="H948" s="1">
        <f>Tabela1[[#This Row],[PESO UND]]/1000*(1129)</f>
        <v>319.71021999999999</v>
      </c>
      <c r="I948" s="1"/>
    </row>
    <row r="949" spans="1:9" x14ac:dyDescent="0.25">
      <c r="A949">
        <v>1059</v>
      </c>
      <c r="B949" t="s">
        <v>921</v>
      </c>
      <c r="D949" s="2">
        <v>100.98</v>
      </c>
      <c r="E949" s="1">
        <v>4339.68</v>
      </c>
      <c r="F949" s="1">
        <f>Tabela1[[#This Row],[PR.CUSTO+FRETE]]-Tabela1[[#This Row],[FRETE]]</f>
        <v>4225.6735800000006</v>
      </c>
      <c r="G949" s="1">
        <v>6661.57</v>
      </c>
      <c r="H949" s="1">
        <f>Tabela1[[#This Row],[PESO UND]]/1000*(1129)</f>
        <v>114.00642000000001</v>
      </c>
      <c r="I949" s="1"/>
    </row>
    <row r="950" spans="1:9" x14ac:dyDescent="0.25">
      <c r="A950">
        <v>1065</v>
      </c>
      <c r="B950" t="s">
        <v>922</v>
      </c>
      <c r="D950" s="2">
        <v>135.38999999999999</v>
      </c>
      <c r="E950" s="1">
        <v>3751.99</v>
      </c>
      <c r="F950" s="1">
        <f>Tabela1[[#This Row],[PR.CUSTO+FRETE]]-Tabela1[[#This Row],[FRETE]]</f>
        <v>3599.1346899999999</v>
      </c>
      <c r="G950" s="1">
        <v>5679.69</v>
      </c>
      <c r="H950" s="1">
        <f>Tabela1[[#This Row],[PESO UND]]/1000*(1129)</f>
        <v>152.85530999999997</v>
      </c>
      <c r="I950" s="1"/>
    </row>
    <row r="951" spans="1:9" x14ac:dyDescent="0.25">
      <c r="A951">
        <v>1064</v>
      </c>
      <c r="B951" t="s">
        <v>923</v>
      </c>
      <c r="D951" s="2">
        <v>210.26</v>
      </c>
      <c r="E951" s="1">
        <v>5101.33</v>
      </c>
      <c r="F951" s="1">
        <f>Tabela1[[#This Row],[PR.CUSTO+FRETE]]-Tabela1[[#This Row],[FRETE]]</f>
        <v>4863.9464600000001</v>
      </c>
      <c r="G951" s="1">
        <v>7688.75</v>
      </c>
      <c r="H951" s="1">
        <f>Tabela1[[#This Row],[PESO UND]]/1000*(1129)</f>
        <v>237.38354000000001</v>
      </c>
      <c r="I951" s="1"/>
    </row>
    <row r="952" spans="1:9" x14ac:dyDescent="0.25">
      <c r="A952">
        <v>1060</v>
      </c>
      <c r="B952" t="s">
        <v>924</v>
      </c>
      <c r="D952" s="2">
        <v>135.25</v>
      </c>
      <c r="E952" s="1">
        <v>3727.08</v>
      </c>
      <c r="F952" s="1">
        <f>Tabela1[[#This Row],[PR.CUSTO+FRETE]]-Tabela1[[#This Row],[FRETE]]</f>
        <v>3574.3827499999998</v>
      </c>
      <c r="G952" s="1">
        <v>5633.46</v>
      </c>
      <c r="H952" s="1">
        <f>Tabela1[[#This Row],[PESO UND]]/1000*(1129)</f>
        <v>152.69725</v>
      </c>
      <c r="I952" s="1"/>
    </row>
    <row r="953" spans="1:9" x14ac:dyDescent="0.25">
      <c r="A953">
        <v>1063</v>
      </c>
      <c r="B953" t="s">
        <v>925</v>
      </c>
      <c r="D953" s="2">
        <v>131.68</v>
      </c>
      <c r="E953" s="1">
        <v>2444.06</v>
      </c>
      <c r="F953" s="1">
        <f>Tabela1[[#This Row],[PR.CUSTO+FRETE]]-Tabela1[[#This Row],[FRETE]]</f>
        <v>2295.3932799999998</v>
      </c>
      <c r="G953" s="1">
        <v>3563.83</v>
      </c>
      <c r="H953" s="1">
        <f>Tabela1[[#This Row],[PESO UND]]/1000*(1129)</f>
        <v>148.66672000000003</v>
      </c>
      <c r="I953" s="1"/>
    </row>
    <row r="954" spans="1:9" x14ac:dyDescent="0.25">
      <c r="A954">
        <v>1061</v>
      </c>
      <c r="B954" t="s">
        <v>926</v>
      </c>
      <c r="D954" s="2">
        <v>154.84</v>
      </c>
      <c r="E954" s="1">
        <v>4463.6099999999997</v>
      </c>
      <c r="F954" s="1">
        <f>Tabela1[[#This Row],[PR.CUSTO+FRETE]]-Tabela1[[#This Row],[FRETE]]</f>
        <v>4288.7956399999994</v>
      </c>
      <c r="G954" s="1">
        <v>6680.93</v>
      </c>
      <c r="H954" s="1">
        <f>Tabela1[[#This Row],[PESO UND]]/1000*(1129)</f>
        <v>174.81435999999999</v>
      </c>
      <c r="I954" s="1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de Sena Moreira Santos</dc:creator>
  <cp:lastModifiedBy>Jose de Sena Moreira Santos</cp:lastModifiedBy>
  <dcterms:created xsi:type="dcterms:W3CDTF">2025-06-12T17:03:18Z</dcterms:created>
  <dcterms:modified xsi:type="dcterms:W3CDTF">2025-06-12T17:50:23Z</dcterms:modified>
</cp:coreProperties>
</file>